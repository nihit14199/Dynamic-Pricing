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artercowman/Desktop/"/>
    </mc:Choice>
  </mc:AlternateContent>
  <xr:revisionPtr revIDLastSave="0" documentId="8_{6A71DE1C-CFC4-2B4A-B2F0-A19FA1DC8CA7}" xr6:coauthVersionLast="47" xr6:coauthVersionMax="47" xr10:uidLastSave="{00000000-0000-0000-0000-000000000000}"/>
  <bookViews>
    <workbookView xWindow="0" yWindow="460" windowWidth="25600" windowHeight="15540" activeTab="13" xr2:uid="{00000000-000D-0000-FFFF-FFFF00000000}"/>
  </bookViews>
  <sheets>
    <sheet name="Sheet1" sheetId="1" r:id="rId1"/>
    <sheet name="Regr-SalesTO" sheetId="14" r:id="rId2"/>
    <sheet name="XLSTAT_20211101_192941_1_HID" sheetId="15" state="hidden" r:id="rId3"/>
    <sheet name="Regr-SalesTomb" sheetId="12" r:id="rId4"/>
    <sheet name="XLSTAT_20211101_192432_1_HID" sheetId="13" state="hidden" r:id="rId5"/>
    <sheet name="Regr-SalesRB" sheetId="10" r:id="rId6"/>
    <sheet name="XLSTAT_20211101_192320_1_HID" sheetId="11" state="hidden" r:id="rId7"/>
    <sheet name="Regr-SalesJO" sheetId="8" r:id="rId8"/>
    <sheet name="XLSTAT_20211101_192102_1_HID" sheetId="9" state="hidden" r:id="rId9"/>
    <sheet name="Regr-SalesFre" sheetId="6" r:id="rId10"/>
    <sheet name="XLSTAT_20211101_191759_1_HID" sheetId="7" state="hidden" r:id="rId11"/>
    <sheet name="Regr-SalesDiG" sheetId="4" r:id="rId12"/>
    <sheet name="XLSTAT_20211101_191526_1_HID" sheetId="5" state="hidden" r:id="rId13"/>
    <sheet name="Part 2 - Q1+Q2" sheetId="2" r:id="rId14"/>
  </sheets>
  <definedNames>
    <definedName name="tab20211101_191526_RunProcREG_anovaTab_1" localSheetId="11" hidden="1">"$B$55:$G$58"</definedName>
    <definedName name="tab20211101_191526_RunProcREG_gOfFitStats_1" localSheetId="11" hidden="1">"$B$38:$C$50"</definedName>
    <definedName name="tab20211101_191526_RunProcREG_paramModel_1" localSheetId="11" hidden="1">"$B$64:$H$71"</definedName>
    <definedName name="tab20211101_191526_RunProcREG_paramModel_2" localSheetId="11" hidden="1">"$B$81:$H$87"</definedName>
    <definedName name="tab20211101_191759_RunProcREG_anovaTab_1" localSheetId="9" hidden="1">"$B$55:$G$58"</definedName>
    <definedName name="tab20211101_191759_RunProcREG_gOfFitStats_1" localSheetId="9" hidden="1">"$B$38:$C$50"</definedName>
    <definedName name="tab20211101_191759_RunProcREG_paramModel_1" localSheetId="9" hidden="1">"$B$64:$H$71"</definedName>
    <definedName name="tab20211101_191759_RunProcREG_paramModel_2" localSheetId="9" hidden="1">"$B$81:$H$87"</definedName>
    <definedName name="tab20211101_192102_RunProcREG_anovaTab_1" localSheetId="7" hidden="1">"$B$55:$G$58"</definedName>
    <definedName name="tab20211101_192102_RunProcREG_gOfFitStats_1" localSheetId="7" hidden="1">"$B$38:$C$50"</definedName>
    <definedName name="tab20211101_192102_RunProcREG_paramModel_1" localSheetId="7" hidden="1">"$B$64:$H$71"</definedName>
    <definedName name="tab20211101_192102_RunProcREG_paramModel_2" localSheetId="7" hidden="1">"$B$81:$H$87"</definedName>
    <definedName name="tab20211101_192320_RunProcREG_anovaTab_1" localSheetId="5" hidden="1">"$B$55:$G$58"</definedName>
    <definedName name="tab20211101_192320_RunProcREG_gOfFitStats_1" localSheetId="5" hidden="1">"$B$38:$C$50"</definedName>
    <definedName name="tab20211101_192320_RunProcREG_paramModel_1" localSheetId="5" hidden="1">"$B$64:$H$71"</definedName>
    <definedName name="tab20211101_192320_RunProcREG_paramModel_2" localSheetId="5" hidden="1">"$B$81:$H$87"</definedName>
    <definedName name="tab20211101_192432_RunProcREG_anovaTab_1" localSheetId="3" hidden="1">"$B$55:$G$58"</definedName>
    <definedName name="tab20211101_192432_RunProcREG_gOfFitStats_1" localSheetId="3" hidden="1">"$B$38:$C$50"</definedName>
    <definedName name="tab20211101_192432_RunProcREG_paramModel_1" localSheetId="3" hidden="1">"$B$64:$H$71"</definedName>
    <definedName name="tab20211101_192432_RunProcREG_paramModel_2" localSheetId="3" hidden="1">"$B$81:$H$87"</definedName>
    <definedName name="tab20211101_192941_RunProcREG_anovaTab_1" localSheetId="1" hidden="1">"$B$55:$G$58"</definedName>
    <definedName name="tab20211101_192941_RunProcREG_gOfFitStats_1" localSheetId="1" hidden="1">"$B$38:$C$50"</definedName>
    <definedName name="tab20211101_192941_RunProcREG_paramModel_1" localSheetId="1" hidden="1">"$B$64:$H$71"</definedName>
    <definedName name="tab20211101_192941_RunProcREG_paramModel_2" localSheetId="1" hidden="1">"$B$81:$H$87"</definedName>
    <definedName name="xdata1" localSheetId="12" hidden="1">XLSTAT_20211101_191526_1_HID!$C$1:$C$70</definedName>
    <definedName name="xdata1" localSheetId="10" hidden="1">XLSTAT_20211101_191759_1_HID!$C$1:$C$70</definedName>
    <definedName name="xdata1" localSheetId="8" hidden="1">XLSTAT_20211101_192102_1_HID!$C$1:$C$70</definedName>
    <definedName name="xdata1" localSheetId="6" hidden="1">XLSTAT_20211101_192320_1_HID!$C$1:$C$70</definedName>
    <definedName name="xdata1" localSheetId="4" hidden="1">XLSTAT_20211101_192432_1_HID!$C$1:$C$70</definedName>
    <definedName name="xdata1" localSheetId="2" hidden="1">XLSTAT_20211101_192941_1_HID!$C$1:$C$70</definedName>
    <definedName name="xdata2" localSheetId="12" hidden="1">XLSTAT_20211101_191526_1_HID!$G$1:$G$70</definedName>
    <definedName name="xdata2" localSheetId="10" hidden="1">XLSTAT_20211101_191759_1_HID!$G$1:$G$70</definedName>
    <definedName name="xdata2" localSheetId="8" hidden="1">XLSTAT_20211101_192102_1_HID!$G$1:$G$70</definedName>
    <definedName name="xdata2" localSheetId="6" hidden="1">XLSTAT_20211101_192320_1_HID!$G$1:$G$70</definedName>
    <definedName name="xdata2" localSheetId="4" hidden="1">XLSTAT_20211101_192432_1_HID!$G$1:$G$70</definedName>
    <definedName name="xdata2" localSheetId="2" hidden="1">XLSTAT_20211101_192941_1_HID!$G$1:$G$70</definedName>
    <definedName name="ydata1" localSheetId="12" hidden="1">XLSTAT_20211101_191526_1_HID!$D$1:$D$70</definedName>
    <definedName name="ydata1" localSheetId="10" hidden="1">XLSTAT_20211101_191759_1_HID!$D$1:$D$70</definedName>
    <definedName name="ydata1" localSheetId="8" hidden="1">XLSTAT_20211101_192102_1_HID!$D$1:$D$70</definedName>
    <definedName name="ydata1" localSheetId="6" hidden="1">XLSTAT_20211101_192320_1_HID!$D$1:$D$70</definedName>
    <definedName name="ydata1" localSheetId="4" hidden="1">XLSTAT_20211101_192432_1_HID!$D$1:$D$70</definedName>
    <definedName name="ydata1" localSheetId="2" hidden="1">XLSTAT_20211101_192941_1_HID!$D$1:$D$70</definedName>
    <definedName name="ydata2" localSheetId="12" hidden="1">XLSTAT_20211101_191526_1_HID!$H$1:$H$70</definedName>
    <definedName name="ydata2" localSheetId="10" hidden="1">XLSTAT_20211101_191759_1_HID!$H$1:$H$70</definedName>
    <definedName name="ydata2" localSheetId="8" hidden="1">XLSTAT_20211101_192102_1_HID!$H$1:$H$70</definedName>
    <definedName name="ydata2" localSheetId="6" hidden="1">XLSTAT_20211101_192320_1_HID!$H$1:$H$70</definedName>
    <definedName name="ydata2" localSheetId="4" hidden="1">XLSTAT_20211101_192432_1_HID!$H$1:$H$70</definedName>
    <definedName name="ydata2" localSheetId="2" hidden="1">XLSTAT_20211101_192941_1_HID!$H$1:$H$70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2" l="1"/>
  <c r="J10" i="2"/>
  <c r="J9" i="2"/>
  <c r="J8" i="2"/>
  <c r="J7" i="2"/>
  <c r="J6" i="2"/>
  <c r="L160" i="1"/>
  <c r="J160" i="1"/>
  <c r="H160" i="1"/>
  <c r="F160" i="1"/>
  <c r="D160" i="1"/>
  <c r="B160" i="1"/>
  <c r="L159" i="1"/>
  <c r="J159" i="1"/>
  <c r="H159" i="1"/>
  <c r="F159" i="1"/>
  <c r="D159" i="1"/>
  <c r="B159" i="1"/>
  <c r="N161" i="1" s="1"/>
  <c r="H12" i="2"/>
  <c r="G12" i="2"/>
  <c r="F12" i="2"/>
  <c r="E12" i="2"/>
  <c r="C21" i="2" s="1"/>
  <c r="D12" i="2"/>
  <c r="I11" i="2"/>
  <c r="I10" i="2"/>
  <c r="I9" i="2"/>
  <c r="I8" i="2"/>
  <c r="I7" i="2"/>
  <c r="C20" i="2" s="1"/>
  <c r="I6" i="2"/>
  <c r="C12" i="2"/>
  <c r="H1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G1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D1" i="15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C1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H1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G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H1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G1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D1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C1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H1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G1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D1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C1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H1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G1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D1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C1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H1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G1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D1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C1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O2" i="1"/>
  <c r="P2" i="1"/>
  <c r="Q2" i="1"/>
  <c r="R2" i="1"/>
  <c r="S2" i="1"/>
  <c r="T2" i="1"/>
  <c r="U2" i="1"/>
  <c r="V2" i="1"/>
  <c r="W2" i="1"/>
  <c r="X2" i="1"/>
  <c r="Y2" i="1"/>
  <c r="N2" i="1"/>
  <c r="H161" i="1"/>
  <c r="D20" i="2"/>
  <c r="D24" i="2"/>
  <c r="D21" i="2"/>
  <c r="D19" i="2"/>
  <c r="D161" i="1"/>
  <c r="D22" i="2"/>
  <c r="B161" i="1"/>
  <c r="D23" i="2"/>
  <c r="F161" i="1"/>
  <c r="L161" i="1"/>
  <c r="J161" i="1"/>
  <c r="C22" i="2" l="1"/>
  <c r="C19" i="2"/>
  <c r="C23" i="2"/>
  <c r="C24" i="2"/>
</calcChain>
</file>

<file path=xl/sharedStrings.xml><?xml version="1.0" encoding="utf-8"?>
<sst xmlns="http://schemas.openxmlformats.org/spreadsheetml/2006/main" count="1797" uniqueCount="469">
  <si>
    <t>WEEK ENDING 11/22/03</t>
  </si>
  <si>
    <t>WEEK ENDING 11/29/03</t>
  </si>
  <si>
    <t>WEEK ENDING 12/06/03</t>
  </si>
  <si>
    <t>WEEK ENDING 12/13/03</t>
  </si>
  <si>
    <t>WEEK ENDING 12/20/03</t>
  </si>
  <si>
    <t>WEEK ENDING 12/27/03</t>
  </si>
  <si>
    <t>WEEK ENDING 01/03/04</t>
  </si>
  <si>
    <t>WEEK ENDING 01/10/04</t>
  </si>
  <si>
    <t>WEEK ENDING 01/17/04</t>
  </si>
  <si>
    <t>WEEK ENDING 01/24/04</t>
  </si>
  <si>
    <t>WEEK ENDING 01/31/04</t>
  </si>
  <si>
    <t>WEEK ENDING 02/07/04</t>
  </si>
  <si>
    <t>WEEK ENDING 02/14/04</t>
  </si>
  <si>
    <t>WEEK ENDING 02/21/04</t>
  </si>
  <si>
    <t>WEEK ENDING 02/28/04</t>
  </si>
  <si>
    <t>WEEK ENDING 03/06/04</t>
  </si>
  <si>
    <t>WEEK ENDING 03/13/04</t>
  </si>
  <si>
    <t>WEEK ENDING 03/20/04</t>
  </si>
  <si>
    <t>WEEK ENDING 03/27/04</t>
  </si>
  <si>
    <t>WEEK ENDING 04/03/04</t>
  </si>
  <si>
    <t>WEEK ENDING 04/10/04</t>
  </si>
  <si>
    <t>WEEK ENDING 04/17/04</t>
  </si>
  <si>
    <t>WEEK ENDING 04/24/04</t>
  </si>
  <si>
    <t>WEEK ENDING 05/01/04</t>
  </si>
  <si>
    <t>WEEK ENDING 05/08/04</t>
  </si>
  <si>
    <t>WEEK ENDING 05/15/04</t>
  </si>
  <si>
    <t>WEEK ENDING 05/22/04</t>
  </si>
  <si>
    <t>WEEK ENDING 05/29/04</t>
  </si>
  <si>
    <t>WEEK ENDING 06/05/04</t>
  </si>
  <si>
    <t>WEEK ENDING 06/12/04</t>
  </si>
  <si>
    <t>WEEK ENDING 06/19/04</t>
  </si>
  <si>
    <t>WEEK ENDING 06/26/04</t>
  </si>
  <si>
    <t>WEEK ENDING 07/03/04</t>
  </si>
  <si>
    <t>WEEK ENDING 07/10/04</t>
  </si>
  <si>
    <t>WEEK ENDING 07/17/04</t>
  </si>
  <si>
    <t>WEEK ENDING 07/24/04</t>
  </si>
  <si>
    <t>WEEK ENDING 07/31/04</t>
  </si>
  <si>
    <t>WEEK ENDING 08/07/04</t>
  </si>
  <si>
    <t>WEEK ENDING 08/14/04</t>
  </si>
  <si>
    <t>WEEK ENDING 08/21/04</t>
  </si>
  <si>
    <t>WEEK ENDING 08/28/04</t>
  </si>
  <si>
    <t>WEEK ENDING 09/04/04</t>
  </si>
  <si>
    <t>WEEK ENDING 09/11/04</t>
  </si>
  <si>
    <t>WEEK ENDING 09/18/04</t>
  </si>
  <si>
    <t>WEEK ENDING 09/25/04</t>
  </si>
  <si>
    <t>WEEK ENDING 10/02/04</t>
  </si>
  <si>
    <t>WEEK ENDING 10/09/04</t>
  </si>
  <si>
    <t>WEEK ENDING 10/16/04</t>
  </si>
  <si>
    <t>WEEK ENDING 10/23/04</t>
  </si>
  <si>
    <t>WEEK ENDING 10/30/04</t>
  </si>
  <si>
    <t>WEEK ENDING 11/06/04</t>
  </si>
  <si>
    <t>WEEK ENDING 11/13/04</t>
  </si>
  <si>
    <t>WEEK ENDING 11/20/04</t>
  </si>
  <si>
    <t>WEEK ENDING 11/27/04</t>
  </si>
  <si>
    <t>WEEK ENDING 12/04/04</t>
  </si>
  <si>
    <t>WEEK ENDING 12/11/04</t>
  </si>
  <si>
    <t>WEEK ENDING 12/18/04</t>
  </si>
  <si>
    <t>WEEK ENDING 12/25/04</t>
  </si>
  <si>
    <t>WEEK ENDING 01/01/05</t>
  </si>
  <si>
    <t>WEEK ENDING 01/08/05</t>
  </si>
  <si>
    <t>WEEK ENDING 01/15/05</t>
  </si>
  <si>
    <t>WEEK ENDING 01/22/05</t>
  </si>
  <si>
    <t>WEEK ENDING 01/29/05</t>
  </si>
  <si>
    <t>WEEK ENDING 02/05/05</t>
  </si>
  <si>
    <t>WEEK ENDING 02/12/05</t>
  </si>
  <si>
    <t>WEEK ENDING 02/19/05</t>
  </si>
  <si>
    <t>WEEK ENDING 02/26/05</t>
  </si>
  <si>
    <t>WEEK ENDING 03/05/05</t>
  </si>
  <si>
    <t>WEEK ENDING 03/12/05</t>
  </si>
  <si>
    <t>WEEK ENDING 03/19/05</t>
  </si>
  <si>
    <t>WEEK ENDING 03/26/05</t>
  </si>
  <si>
    <t>WEEK ENDING 04/02/05</t>
  </si>
  <si>
    <t>WEEK ENDING 04/09/05</t>
  </si>
  <si>
    <t>WEEK ENDING 04/16/05</t>
  </si>
  <si>
    <t>WEEK ENDING 04/23/05</t>
  </si>
  <si>
    <t>WEEK ENDING 04/30/05</t>
  </si>
  <si>
    <t>WEEK ENDING 05/07/05</t>
  </si>
  <si>
    <t>WEEK ENDING 05/14/05</t>
  </si>
  <si>
    <t>WEEK ENDING 05/21/05</t>
  </si>
  <si>
    <t>WEEK ENDING 05/28/05</t>
  </si>
  <si>
    <t>WEEK ENDING 06/04/05</t>
  </si>
  <si>
    <t>WEEK ENDING 06/11/05</t>
  </si>
  <si>
    <t>WEEK ENDING 06/18/05</t>
  </si>
  <si>
    <t>WEEK ENDING 06/25/05</t>
  </si>
  <si>
    <t>WEEK ENDING 07/02/05</t>
  </si>
  <si>
    <t>WEEK ENDING 07/09/05</t>
  </si>
  <si>
    <t>WEEK ENDING 07/16/05</t>
  </si>
  <si>
    <t>WEEK ENDING 07/23/05</t>
  </si>
  <si>
    <t>WEEK ENDING 07/30/05</t>
  </si>
  <si>
    <t>WEEK ENDING 08/06/05</t>
  </si>
  <si>
    <t>WEEK ENDING 08/13/05</t>
  </si>
  <si>
    <t>WEEK ENDING 08/20/05</t>
  </si>
  <si>
    <t>WEEK ENDING 08/27/05</t>
  </si>
  <si>
    <t>WEEK ENDING 09/03/05</t>
  </si>
  <si>
    <t>WEEK ENDING 09/10/05</t>
  </si>
  <si>
    <t>WEEK ENDING 09/17/05</t>
  </si>
  <si>
    <t>WEEK ENDING 09/24/05</t>
  </si>
  <si>
    <t>WEEK ENDING 10/01/05</t>
  </si>
  <si>
    <t>WEEK ENDING 10/08/05</t>
  </si>
  <si>
    <t>WEEK ENDING 10/15/05</t>
  </si>
  <si>
    <t>WEEK ENDING 10/22/05</t>
  </si>
  <si>
    <t>WEEK ENDING 10/29/05</t>
  </si>
  <si>
    <t>WEEK ENDING 11/05/05</t>
  </si>
  <si>
    <t>WEEK ENDING 11/12/05</t>
  </si>
  <si>
    <t>WEEK ENDING 11/19/05</t>
  </si>
  <si>
    <t>WEEK ENDING 11/26/05</t>
  </si>
  <si>
    <t>WEEK ENDING 12/03/05</t>
  </si>
  <si>
    <t>WEEK ENDING 12/10/05</t>
  </si>
  <si>
    <t>WEEK ENDING 12/17/05</t>
  </si>
  <si>
    <t>WEEK ENDING 12/24/05</t>
  </si>
  <si>
    <t>WEEK ENDING 12/31/05</t>
  </si>
  <si>
    <t>WEEK ENDING 01/07/06</t>
  </si>
  <si>
    <t>WEEK ENDING 01/14/06</t>
  </si>
  <si>
    <t>WEEK ENDING 01/21/06</t>
  </si>
  <si>
    <t>WEEK ENDING 01/28/06</t>
  </si>
  <si>
    <t>WEEK ENDING 02/04/06</t>
  </si>
  <si>
    <t>WEEK ENDING 02/11/06</t>
  </si>
  <si>
    <t>WEEK ENDING 02/18/06</t>
  </si>
  <si>
    <t>WEEK ENDING 02/25/06</t>
  </si>
  <si>
    <t>WEEK ENDING 03/04/06</t>
  </si>
  <si>
    <t>WEEK ENDING 03/11/06</t>
  </si>
  <si>
    <t>WEEK ENDING 03/18/06</t>
  </si>
  <si>
    <t>WEEK ENDING 03/25/06</t>
  </si>
  <si>
    <t>WEEK ENDING 04/01/06</t>
  </si>
  <si>
    <t>WEEK ENDING 04/08/06</t>
  </si>
  <si>
    <t>WEEK ENDING 04/15/06</t>
  </si>
  <si>
    <t>WEEK ENDING 04/22/06</t>
  </si>
  <si>
    <t>WEEK ENDING 04/29/06</t>
  </si>
  <si>
    <t>WEEK ENDING 05/06/06</t>
  </si>
  <si>
    <t>WEEK ENDING 05/13/06</t>
  </si>
  <si>
    <t>WEEK ENDING 05/20/06</t>
  </si>
  <si>
    <t>WEEK ENDING 05/27/06</t>
  </si>
  <si>
    <t>WEEK ENDING 06/03/06</t>
  </si>
  <si>
    <t>WEEK ENDING 06/10/06</t>
  </si>
  <si>
    <t>WEEK ENDING 06/17/06</t>
  </si>
  <si>
    <t>WEEK ENDING 06/24/06</t>
  </si>
  <si>
    <t>WEEK ENDING 07/01/06</t>
  </si>
  <si>
    <t>WEEK ENDING 07/08/06</t>
  </si>
  <si>
    <t>WEEK ENDING 07/15/06</t>
  </si>
  <si>
    <t>WEEK ENDING 07/22/06</t>
  </si>
  <si>
    <t>WEEK ENDING 07/29/06</t>
  </si>
  <si>
    <t>WEEK ENDING 08/05/06</t>
  </si>
  <si>
    <t>WEEK ENDING 08/12/06</t>
  </si>
  <si>
    <t>WEEK ENDING 08/19/06</t>
  </si>
  <si>
    <t>WEEK ENDING 08/26/06</t>
  </si>
  <si>
    <t>WEEK ENDING 09/02/06</t>
  </si>
  <si>
    <t>WEEK ENDING 09/09/06</t>
  </si>
  <si>
    <t>WEEK ENDING 09/16/06</t>
  </si>
  <si>
    <t>WEEK ENDING 09/23/06</t>
  </si>
  <si>
    <t>WEEK ENDING 09/30/06</t>
  </si>
  <si>
    <t>WEEK ENDING 10/07/06</t>
  </si>
  <si>
    <t>WEEK ENDING 10/14/06</t>
  </si>
  <si>
    <t>WEEK ENDING 10/21/06</t>
  </si>
  <si>
    <t>WEEK ENDING 10/28/06</t>
  </si>
  <si>
    <t>WEEK ENDING 11/04/06</t>
  </si>
  <si>
    <t>WEEK ENDING 11/11/06</t>
  </si>
  <si>
    <t>U Vol DiGiorno</t>
  </si>
  <si>
    <t>Price DiGiorno</t>
  </si>
  <si>
    <t>U Vol Fresch</t>
  </si>
  <si>
    <t>Price Fresch</t>
  </si>
  <si>
    <t>U Vol JO</t>
  </si>
  <si>
    <t xml:space="preserve"> Price JO</t>
  </si>
  <si>
    <t>U Vol RB</t>
  </si>
  <si>
    <t>Price RB</t>
  </si>
  <si>
    <t>U Vol Tomb</t>
  </si>
  <si>
    <t>Price Tomb</t>
  </si>
  <si>
    <t>U Vol TO</t>
  </si>
  <si>
    <t xml:space="preserve"> Price TO</t>
  </si>
  <si>
    <t>Week</t>
  </si>
  <si>
    <t>Ln(PriceDiG)</t>
  </si>
  <si>
    <t>Ln(UVolDiG)</t>
  </si>
  <si>
    <t>Ln(UVolFre)</t>
  </si>
  <si>
    <t>Ln(PriceFre)</t>
  </si>
  <si>
    <t>Ln(UVolJO)</t>
  </si>
  <si>
    <t>Ln(PriceJO)</t>
  </si>
  <si>
    <t>Ln(UVolRB)</t>
  </si>
  <si>
    <t>Ln(PriceRB)</t>
  </si>
  <si>
    <t>Ln(UVolTomb)</t>
  </si>
  <si>
    <t>Ln(PriceTomb)</t>
  </si>
  <si>
    <t>Ln(UVolTO)</t>
  </si>
  <si>
    <t>Ln(PriceTO)</t>
  </si>
  <si>
    <t>Y / Dependent variables: Workbook = HW2 Pizza data.xlsm / Sheet = Sheet1 / Range = Sheet1!$N$1:$N$157 / 156 rows and 1 column</t>
  </si>
  <si>
    <t>X / Quantitative: Workbook = HW2 Pizza data.xlsm / Sheet = Sheet1 / Range = 'Sheet1'!$O$1:$O$157,'Sheet1'!$Q$1:$Q$157,'Sheet1'!$S$1:$S$157,'Sheet1'!$U$1:$U$157,'Sheet1'!$W$1:$W$157,'Sheet1'!$Y$1:$Y$157 / 156 rows and 6 columns</t>
  </si>
  <si>
    <t>Confidence interval (%): 95</t>
  </si>
  <si>
    <t>Tolerance: 0.0001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</si>
  <si>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</si>
  <si>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</si>
  <si>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</si>
  <si>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</si>
  <si>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</si>
  <si>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</si>
  <si>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</si>
  <si>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</si>
  <si>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</si>
  <si>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matrix:</t>
  </si>
  <si>
    <t>Regression of variable Ln(UVolDiG):</t>
  </si>
  <si>
    <t>Goodness of fit statistics (Ln(UVolDiG)):</t>
  </si>
  <si>
    <t>Sum of weights</t>
  </si>
  <si>
    <t>DF</t>
  </si>
  <si>
    <t>R²</t>
  </si>
  <si>
    <t>Adjusted R²</t>
  </si>
  <si>
    <t>MSE</t>
  </si>
  <si>
    <t>RMSE</t>
  </si>
  <si>
    <t>MAPE</t>
  </si>
  <si>
    <t>DW</t>
  </si>
  <si>
    <t>Cp</t>
  </si>
  <si>
    <t>AIC</t>
  </si>
  <si>
    <t>SBC</t>
  </si>
  <si>
    <t>PC</t>
  </si>
  <si>
    <t>Analysis of variance  (Ln(UVolDiG)):</t>
  </si>
  <si>
    <t>Source</t>
  </si>
  <si>
    <t>Sum of squares</t>
  </si>
  <si>
    <t>Mean squares</t>
  </si>
  <si>
    <t>F</t>
  </si>
  <si>
    <t>Pr &gt; F</t>
  </si>
  <si>
    <t>Model</t>
  </si>
  <si>
    <t>Error</t>
  </si>
  <si>
    <t>Corrected Total</t>
  </si>
  <si>
    <t>Computed against model Y=Mean(Y)</t>
  </si>
  <si>
    <t>Model parameters (Ln(UVolDiG)):</t>
  </si>
  <si>
    <t>Value</t>
  </si>
  <si>
    <t>Standard error</t>
  </si>
  <si>
    <t>t</t>
  </si>
  <si>
    <t>Pr &gt; |t|</t>
  </si>
  <si>
    <t>Lower bound (95%)</t>
  </si>
  <si>
    <t>Upper bound (95%)</t>
  </si>
  <si>
    <t>Intercept</t>
  </si>
  <si>
    <t>Equation of the model (Ln(UVolDiG)):</t>
  </si>
  <si>
    <t>Ln(UVolDiG) = 14.6108232599044-4.2302049117572*Ln(PriceDiG)+0.94110103564404*Ln(PriceFre)+0.0713833282126685*Ln(PriceJO)-0.0756784920143464*Ln(PriceRB)-0.130901374873151*Ln(PriceTomb)-0.174118399415871*Ln(PriceTO)</t>
  </si>
  <si>
    <t>Standardized coefficients (Ln(UVolDiG)):</t>
  </si>
  <si>
    <t xml:space="preserve"> </t>
  </si>
  <si>
    <t>Predictions and residuals (Ln(UVolDiG)):</t>
  </si>
  <si>
    <t>Observation</t>
  </si>
  <si>
    <t>Weight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</si>
  <si>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</si>
  <si>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</si>
  <si>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</si>
  <si>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</si>
  <si>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</si>
  <si>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</si>
  <si>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</si>
  <si>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</si>
  <si>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</si>
  <si>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</si>
  <si>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</si>
  <si>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</si>
  <si>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</si>
  <si>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</si>
  <si>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</si>
  <si>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</si>
  <si>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</si>
  <si>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</si>
  <si>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</si>
  <si>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</si>
  <si>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</si>
  <si>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</si>
  <si>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</si>
  <si>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</si>
  <si>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</si>
  <si>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</si>
  <si>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</si>
  <si>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</si>
  <si>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</si>
  <si>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</si>
  <si>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</si>
  <si>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</si>
  <si>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</si>
  <si>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</si>
  <si>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</si>
  <si>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</si>
  <si>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</si>
  <si>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</si>
  <si>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</si>
  <si>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</si>
  <si>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</si>
  <si>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</si>
  <si>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</si>
  <si>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</si>
  <si>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</si>
  <si>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</si>
  <si>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</si>
  <si>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</si>
  <si>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</si>
  <si>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</si>
  <si>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</si>
  <si>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</si>
  <si>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</si>
  <si>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</si>
  <si>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</si>
  <si>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</si>
  <si>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</si>
  <si>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</si>
  <si>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</si>
  <si>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</si>
  <si>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</si>
  <si>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</si>
  <si>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</si>
  <si>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</si>
  <si>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</si>
  <si>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</si>
  <si>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</si>
  <si>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</si>
  <si>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</si>
  <si>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</si>
  <si>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</si>
  <si>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</si>
  <si>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</si>
  <si>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</si>
  <si>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</si>
  <si>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</si>
  <si>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</si>
  <si>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</si>
  <si>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</si>
  <si>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</si>
  <si>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</si>
  <si>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</si>
  <si>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</si>
  <si>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</si>
  <si>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</si>
  <si>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</si>
  <si>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</si>
  <si>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</si>
  <si>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</si>
  <si>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</si>
  <si>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</si>
  <si>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</si>
  <si>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</si>
  <si>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</si>
  <si>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</si>
  <si>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</si>
  <si>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</si>
  <si>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</si>
  <si>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</si>
  <si>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</si>
  <si>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</si>
  <si>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</si>
  <si>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</si>
  <si>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</si>
  <si>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</si>
  <si>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</si>
  <si>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</si>
  <si>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</si>
  <si>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</si>
  <si>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</si>
  <si>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</si>
  <si>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</si>
  <si>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</si>
  <si>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</si>
  <si>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</si>
  <si>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</si>
  <si>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</si>
  <si>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</si>
  <si>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</si>
  <si>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</si>
  <si>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</si>
  <si>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</si>
  <si>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</si>
  <si>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</si>
  <si>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</si>
  <si>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</si>
  <si>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</si>
  <si>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</si>
  <si>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</si>
  <si>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</si>
  <si>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</si>
  <si>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</si>
  <si>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</si>
  <si>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</si>
  <si>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</si>
  <si>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</si>
  <si>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</si>
  <si>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</si>
  <si>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</si>
  <si>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</si>
  <si>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</si>
  <si>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</si>
  <si>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</si>
  <si>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</si>
  <si>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</si>
  <si>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</si>
  <si>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</si>
  <si>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</si>
  <si>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</si>
  <si>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</si>
  <si>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</si>
  <si>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</si>
  <si>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</si>
  <si>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</si>
  <si>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</si>
  <si>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</si>
  <si>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Pred(Ln(UVolDiG))</t>
  </si>
  <si>
    <t>Residual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</si>
  <si>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</si>
  <si>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</si>
  <si>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</si>
  <si>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</si>
  <si>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</si>
  <si>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</si>
  <si>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</si>
  <si>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r>
      <t>XLSTAT 2021.3.1.1133 - Linear regression - Start time: 11/01/2021 at 19:17:00 / End time: 11/01/2021 at 19:17:05</t>
    </r>
    <r>
      <rPr>
        <sz val="10"/>
        <color rgb="FFFFFFFF"/>
        <rFont val="Arial"/>
        <family val="2"/>
      </rPr>
      <t xml:space="preserve"> / Microsoft Excel 16.541010</t>
    </r>
  </si>
  <si>
    <t>Y / Dependent variables: Workbook = HW2 Pizza data.xlsm / Sheet = Sheet1 / Range = Sheet1!$P$1:$P$157 / 156 rows and 1 column</t>
  </si>
  <si>
    <t>Regression of variable Ln(UVolFre):</t>
  </si>
  <si>
    <t>Goodness of fit statistics (Ln(UVolFre)):</t>
  </si>
  <si>
    <t>Analysis of variance  (Ln(UVolFre)):</t>
  </si>
  <si>
    <t>Model parameters (Ln(UVolFre)):</t>
  </si>
  <si>
    <t>Equation of the model (Ln(UVolFre)):</t>
  </si>
  <si>
    <t>Ln(UVolFre) = 10.2628199869064+2.15205563762338*Ln(PriceDiG)-3.95481899943173*Ln(PriceFre)+0.105940897991662*Ln(PriceJO)+0.484700329806605*Ln(PriceRB)-0.261671290035008*Ln(PriceTomb)+0.357063412594933*Ln(PriceTO)</t>
  </si>
  <si>
    <t>Standardized coefficients (Ln(UVolFre)):</t>
  </si>
  <si>
    <t>Predictions and residuals (Ln(UVolFre)):</t>
  </si>
  <si>
    <t>Pred(Ln(UVolFre))</t>
  </si>
  <si>
    <r>
      <t>XLSTAT 2021.3.1.1133 - Linear regression - Start time: 11/01/2021 at 19:19:42 / End time: 11/01/2021 at 19:19:46</t>
    </r>
    <r>
      <rPr>
        <sz val="10"/>
        <color rgb="FFFFFFFF"/>
        <rFont val="Arial"/>
        <family val="2"/>
      </rPr>
      <t xml:space="preserve"> / Microsoft Excel 16.541010</t>
    </r>
  </si>
  <si>
    <t>Y / Dependent variables: Workbook = HW2 Pizza data.xlsm / Sheet = Sheet1 / Range = Sheet1!$R$1:$R$157 / 156 rows and 1 column</t>
  </si>
  <si>
    <t>Regression of variable Ln(UVolJO):</t>
  </si>
  <si>
    <t>Goodness of fit statistics (Ln(UVolJO)):</t>
  </si>
  <si>
    <t>Analysis of variance  (Ln(UVolJO)):</t>
  </si>
  <si>
    <t>Model parameters (Ln(UVolJO)):</t>
  </si>
  <si>
    <t>Equation of the model (Ln(UVolJO)):</t>
  </si>
  <si>
    <t>Ln(UVolJO) = 12.7907506861516+0.193622458292378*Ln(PriceDiG)-0.0712438682289361*Ln(PriceFre)-4.22463928024615*Ln(PriceJO)+0.272288321648497*Ln(PriceRB)+0.368758352097626*Ln(PriceTomb)+0.596156685168828*Ln(PriceTO)</t>
  </si>
  <si>
    <t>Standardized coefficients (Ln(UVolJO)):</t>
  </si>
  <si>
    <t>Predictions and residuals (Ln(UVolJO)):</t>
  </si>
  <si>
    <t>Pred(Ln(UVolJO))</t>
  </si>
  <si>
    <r>
      <t>XLSTAT 2021.3.1.1133 - Linear regression - Start time: 11/01/2021 at 19:22:54 / End time: 11/01/2021 at 19:22:58</t>
    </r>
    <r>
      <rPr>
        <sz val="10"/>
        <color rgb="FFFFFFFF"/>
        <rFont val="Arial"/>
        <family val="2"/>
      </rPr>
      <t xml:space="preserve"> / Microsoft Excel 16.541010</t>
    </r>
  </si>
  <si>
    <t>Y / Dependent variables: Workbook = HW2 Pizza data.xlsm / Sheet = Sheet1 / Range = Sheet1!$T$1:$T$157 / 156 rows and 1 column</t>
  </si>
  <si>
    <t>Regression of variable Ln(UVolRB):</t>
  </si>
  <si>
    <t>Goodness of fit statistics (Ln(UVolRB)):</t>
  </si>
  <si>
    <t>Analysis of variance  (Ln(UVolRB)):</t>
  </si>
  <si>
    <t>Model parameters (Ln(UVolRB)):</t>
  </si>
  <si>
    <t>Equation of the model (Ln(UVolRB)):</t>
  </si>
  <si>
    <t>Ln(UVolRB) = 11.4322348452454+0.629646550012667*Ln(PriceDiG)+0.278853981267145*Ln(PriceFre)+0.47173087737686*Ln(PriceJO)-3.75822492402513*Ln(PriceRB)+0.503126101321025*Ln(PriceTomb)+0.0867971089480327*Ln(PriceTO)</t>
  </si>
  <si>
    <t>Standardized coefficients (Ln(UVolRB)):</t>
  </si>
  <si>
    <t>Predictions and residuals (Ln(UVolRB)):</t>
  </si>
  <si>
    <t>Pred(Ln(UVolRB))</t>
  </si>
  <si>
    <r>
      <t>XLSTAT 2021.3.1.1133 - Linear regression - Start time: 11/01/2021 at 19:24:10 / End time: 11/01/2021 at 19:24:14</t>
    </r>
    <r>
      <rPr>
        <sz val="10"/>
        <color rgb="FFFFFFFF"/>
        <rFont val="Arial"/>
        <family val="2"/>
      </rPr>
      <t xml:space="preserve"> / Microsoft Excel 16.541010</t>
    </r>
  </si>
  <si>
    <t>Y / Dependent variables: Workbook = HW2 Pizza data.xlsm / Sheet = Sheet1 / Range = Sheet1!$V$1:$V$157 / 156 rows and 1 column</t>
  </si>
  <si>
    <t>Regression of variable Ln(UVolTomb):</t>
  </si>
  <si>
    <t>Goodness of fit statistics (Ln(UVolTomb)):</t>
  </si>
  <si>
    <t>Analysis of variance  (Ln(UVolTomb)):</t>
  </si>
  <si>
    <t>Model parameters (Ln(UVolTomb)):</t>
  </si>
  <si>
    <t>Equation of the model (Ln(UVolTomb)):</t>
  </si>
  <si>
    <t>Ln(UVolTomb) = 13.1256441082975+0.182692916138379*Ln(PriceDiG)-0.0947003144947773*Ln(PriceFre)+0.469754984923853*Ln(PriceJO)+0.206462383046601*Ln(PriceRB)-3.68369275659704*Ln(PriceTomb)+0.302531895267037*Ln(PriceTO)</t>
  </si>
  <si>
    <t>Standardized coefficients (Ln(UVolTomb)):</t>
  </si>
  <si>
    <t>Predictions and residuals (Ln(UVolTomb)):</t>
  </si>
  <si>
    <t>Pred(Ln(UVolTomb))</t>
  </si>
  <si>
    <r>
      <t>XLSTAT 2021.3.1.1133 - Linear regression - Start time: 11/01/2021 at 19:24:59 / End time: 11/01/2021 at 19:25:03</t>
    </r>
    <r>
      <rPr>
        <sz val="10"/>
        <color rgb="FFFFFFFF"/>
        <rFont val="Arial"/>
        <family val="2"/>
      </rPr>
      <t xml:space="preserve"> / Microsoft Excel 16.541010</t>
    </r>
  </si>
  <si>
    <t>Y / Dependent variables: Workbook = HW2 Pizza data.xlsm / Sheet = Sheet1 / Range = Sheet1!$X$1:$X$157 / 156 rows and 1 column</t>
  </si>
  <si>
    <t>Regression of variable Ln(UVolTO):</t>
  </si>
  <si>
    <t>Goodness of fit statistics (Ln(UVolTO)):</t>
  </si>
  <si>
    <t>Analysis of variance  (Ln(UVolTO)):</t>
  </si>
  <si>
    <t>Model parameters (Ln(UVolTO)):</t>
  </si>
  <si>
    <t>Equation of the model (Ln(UVolTO)):</t>
  </si>
  <si>
    <t>Ln(UVolTO) = 10.5255957764616+0.309181170032687*Ln(PriceDiG)+0.282582658995286*Ln(PriceFre)+0.516198554331314*Ln(PriceJO)+0.168095451250221*Ln(PriceRB)+0.637213208348667*Ln(PriceTomb)-4.69332372292353*Ln(PriceTO)</t>
  </si>
  <si>
    <t>Standardized coefficients (Ln(UVolTO)):</t>
  </si>
  <si>
    <t>Predictions and residuals (Ln(UVolTO)):</t>
  </si>
  <si>
    <t>Pred(Ln(UVolTO))</t>
  </si>
  <si>
    <r>
      <t>XLSTAT 2021.3.1.1133 - Linear regression - Start time: 11/01/2021 at 19:30:04 / End time: 11/01/2021 at 19:30:10</t>
    </r>
    <r>
      <rPr>
        <sz val="10"/>
        <color rgb="FFFFFFFF"/>
        <rFont val="Arial"/>
        <family val="2"/>
      </rPr>
      <t xml:space="preserve"> / Microsoft Excel 16.541010</t>
    </r>
  </si>
  <si>
    <t>DiGiorno</t>
  </si>
  <si>
    <t>Fresch</t>
  </si>
  <si>
    <t>JO</t>
  </si>
  <si>
    <t>RB</t>
  </si>
  <si>
    <t>Tomb</t>
  </si>
  <si>
    <t>TO</t>
  </si>
  <si>
    <t>Market Share</t>
  </si>
  <si>
    <t>Clout</t>
  </si>
  <si>
    <t>Vulnerability</t>
  </si>
  <si>
    <t>Elasticity Matrix</t>
  </si>
  <si>
    <t>Dominance Ratio</t>
  </si>
  <si>
    <t>TOTAL U VOL/BRAND</t>
  </si>
  <si>
    <t>Total Market</t>
  </si>
  <si>
    <t>MARKET 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</si>
</sst>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&lt;0.0001]&quot;&lt;0.0001&quot;;0.000"/>
  </numFmts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rgb="FF008941"/>
      <name val="Arial"/>
      <family val="2"/>
    </font>
    <font>
      <sz val="10"/>
      <color rgb="FF007800"/>
      <name val="Arial"/>
      <family val="2"/>
    </font>
    <font>
      <b/>
      <sz val="10"/>
      <color rgb="FF007800"/>
      <name val="Arial"/>
      <family val="2"/>
    </font>
    <font>
      <i/>
      <sz val="10"/>
      <name val="Arial"/>
      <family val="2"/>
    </font>
    <font>
      <sz val="10"/>
      <color rgb="FFFFFFFF"/>
      <name val="Arial"/>
      <family val="2"/>
    </font>
    <font>
      <b/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quotePrefix="1" applyNumberFormat="1" applyFont="1"/>
    <xf numFmtId="0" fontId="2" fillId="0" borderId="0" xfId="0" applyNumberFormat="1" applyFont="1" applyAlignment="1"/>
    <xf numFmtId="164" fontId="3" fillId="0" borderId="0" xfId="0" applyNumberFormat="1" applyFont="1"/>
    <xf numFmtId="0" fontId="3" fillId="0" borderId="0" xfId="0" applyFont="1"/>
    <xf numFmtId="0" fontId="2" fillId="2" borderId="0" xfId="0" applyNumberFormat="1" applyFont="1" applyFill="1" applyAlignment="1">
      <alignment horizontal="center" wrapText="1"/>
    </xf>
    <xf numFmtId="0" fontId="2" fillId="0" borderId="0" xfId="0" quotePrefix="1" applyNumberFormat="1" applyFont="1" applyFill="1" applyAlignment="1">
      <alignment horizontal="center" wrapText="1"/>
    </xf>
    <xf numFmtId="0" fontId="2" fillId="0" borderId="0" xfId="0" applyNumberFormat="1" applyFont="1" applyFill="1" applyAlignment="1">
      <alignment horizontal="center" wrapText="1"/>
    </xf>
    <xf numFmtId="0" fontId="2" fillId="0" borderId="0" xfId="0" applyFont="1"/>
    <xf numFmtId="49" fontId="0" fillId="0" borderId="0" xfId="0" applyNumberFormat="1" applyAlignment="1"/>
    <xf numFmtId="0" fontId="3" fillId="0" borderId="1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5" fillId="0" borderId="2" xfId="0" applyNumberFormat="1" applyFont="1" applyBorder="1" applyAlignment="1"/>
    <xf numFmtId="49" fontId="0" fillId="0" borderId="3" xfId="0" applyNumberFormat="1" applyBorder="1" applyAlignment="1"/>
    <xf numFmtId="0" fontId="5" fillId="0" borderId="2" xfId="0" applyNumberFormat="1" applyFont="1" applyBorder="1" applyAlignment="1"/>
    <xf numFmtId="0" fontId="0" fillId="0" borderId="0" xfId="0" applyNumberFormat="1" applyAlignment="1"/>
    <xf numFmtId="0" fontId="0" fillId="0" borderId="3" xfId="0" applyNumberFormat="1" applyBorder="1" applyAlignment="1"/>
    <xf numFmtId="164" fontId="5" fillId="0" borderId="2" xfId="0" applyNumberFormat="1" applyFon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49" fontId="6" fillId="0" borderId="1" xfId="0" applyNumberFormat="1" applyFont="1" applyBorder="1" applyAlignment="1">
      <alignment horizontal="center" vertical="center" wrapText="1"/>
    </xf>
    <xf numFmtId="49" fontId="0" fillId="0" borderId="2" xfId="0" applyNumberFormat="1" applyBorder="1" applyAlignment="1"/>
    <xf numFmtId="49" fontId="6" fillId="0" borderId="3" xfId="0" applyNumberFormat="1" applyFont="1" applyBorder="1" applyAlignment="1"/>
    <xf numFmtId="164" fontId="0" fillId="0" borderId="2" xfId="0" applyNumberFormat="1" applyBorder="1" applyAlignment="1"/>
    <xf numFmtId="164" fontId="6" fillId="0" borderId="2" xfId="0" applyNumberFormat="1" applyFont="1" applyBorder="1" applyAlignment="1"/>
    <xf numFmtId="164" fontId="6" fillId="0" borderId="0" xfId="0" applyNumberFormat="1" applyFont="1" applyAlignment="1"/>
    <xf numFmtId="164" fontId="6" fillId="0" borderId="3" xfId="0" applyNumberFormat="1" applyFont="1" applyBorder="1" applyAlignment="1"/>
    <xf numFmtId="0" fontId="2" fillId="0" borderId="2" xfId="0" applyNumberFormat="1" applyFont="1" applyBorder="1" applyAlignment="1"/>
    <xf numFmtId="0" fontId="7" fillId="0" borderId="3" xfId="0" applyNumberFormat="1" applyFont="1" applyBorder="1" applyAlignment="1"/>
    <xf numFmtId="49" fontId="0" fillId="0" borderId="1" xfId="0" applyNumberFormat="1" applyBorder="1" applyAlignment="1"/>
    <xf numFmtId="0" fontId="0" fillId="0" borderId="1" xfId="0" applyNumberFormat="1" applyBorder="1" applyAlignment="1"/>
    <xf numFmtId="0" fontId="0" fillId="0" borderId="2" xfId="0" applyNumberFormat="1" applyBorder="1" applyAlignment="1"/>
    <xf numFmtId="165" fontId="0" fillId="0" borderId="2" xfId="0" applyNumberFormat="1" applyBorder="1" applyAlignment="1"/>
    <xf numFmtId="165" fontId="0" fillId="0" borderId="0" xfId="0" applyNumberFormat="1" applyAlignment="1"/>
    <xf numFmtId="165" fontId="0" fillId="0" borderId="3" xfId="0" applyNumberFormat="1" applyBorder="1" applyAlignment="1"/>
    <xf numFmtId="165" fontId="2" fillId="0" borderId="2" xfId="0" applyNumberFormat="1" applyFont="1" applyBorder="1" applyAlignment="1"/>
    <xf numFmtId="165" fontId="2" fillId="0" borderId="0" xfId="0" applyNumberFormat="1" applyFont="1" applyAlignment="1"/>
    <xf numFmtId="165" fontId="2" fillId="0" borderId="3" xfId="0" applyNumberFormat="1" applyFont="1" applyBorder="1" applyAlignment="1"/>
    <xf numFmtId="0" fontId="8" fillId="0" borderId="0" xfId="0" applyFont="1"/>
    <xf numFmtId="0" fontId="0" fillId="0" borderId="4" xfId="0" applyBorder="1"/>
    <xf numFmtId="0" fontId="2" fillId="0" borderId="4" xfId="0" applyFont="1" applyBorder="1"/>
    <xf numFmtId="0" fontId="3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0" fillId="3" borderId="2" xfId="0" applyNumberFormat="1" applyFill="1" applyBorder="1" applyAlignment="1"/>
    <xf numFmtId="164" fontId="0" fillId="3" borderId="2" xfId="0" applyNumberFormat="1" applyFill="1" applyBorder="1" applyAlignment="1"/>
    <xf numFmtId="165" fontId="2" fillId="3" borderId="2" xfId="0" applyNumberFormat="1" applyFont="1" applyFill="1" applyBorder="1" applyAlignment="1"/>
    <xf numFmtId="49" fontId="0" fillId="3" borderId="0" xfId="0" applyNumberFormat="1" applyFill="1" applyAlignment="1"/>
    <xf numFmtId="164" fontId="0" fillId="3" borderId="0" xfId="0" applyNumberFormat="1" applyFill="1" applyAlignment="1"/>
    <xf numFmtId="165" fontId="2" fillId="3" borderId="0" xfId="0" applyNumberFormat="1" applyFont="1" applyFill="1" applyAlignment="1"/>
    <xf numFmtId="165" fontId="0" fillId="3" borderId="0" xfId="0" applyNumberFormat="1" applyFill="1" applyAlignment="1"/>
    <xf numFmtId="49" fontId="0" fillId="3" borderId="3" xfId="0" applyNumberFormat="1" applyFill="1" applyBorder="1" applyAlignment="1"/>
    <xf numFmtId="164" fontId="0" fillId="3" borderId="3" xfId="0" applyNumberFormat="1" applyFill="1" applyBorder="1" applyAlignment="1"/>
    <xf numFmtId="165" fontId="0" fillId="3" borderId="3" xfId="0" applyNumberFormat="1" applyFill="1" applyBorder="1" applyAlignment="1"/>
    <xf numFmtId="165" fontId="2" fillId="3" borderId="3" xfId="0" applyNumberFormat="1" applyFont="1" applyFill="1" applyBorder="1" applyAlignment="1"/>
    <xf numFmtId="0" fontId="0" fillId="3" borderId="4" xfId="0" applyFill="1" applyBorder="1"/>
    <xf numFmtId="0" fontId="0" fillId="0" borderId="4" xfId="0" applyFill="1" applyBorder="1"/>
    <xf numFmtId="0" fontId="0" fillId="4" borderId="4" xfId="0" applyFill="1" applyBorder="1"/>
    <xf numFmtId="0" fontId="10" fillId="4" borderId="4" xfId="0" applyFont="1" applyFill="1" applyBorder="1"/>
    <xf numFmtId="0" fontId="10" fillId="3" borderId="4" xfId="0" applyFont="1" applyFill="1" applyBorder="1"/>
    <xf numFmtId="0" fontId="10" fillId="0" borderId="0" xfId="0" applyFont="1"/>
    <xf numFmtId="0" fontId="2" fillId="0" borderId="5" xfId="0" applyFont="1" applyBorder="1"/>
    <xf numFmtId="0" fontId="10" fillId="5" borderId="4" xfId="0" applyFont="1" applyFill="1" applyBorder="1"/>
    <xf numFmtId="0" fontId="2" fillId="0" borderId="0" xfId="0" applyNumberFormat="1" applyFont="1"/>
    <xf numFmtId="0" fontId="2" fillId="5" borderId="0" xfId="0" applyNumberFormat="1" applyFont="1" applyFill="1"/>
    <xf numFmtId="0" fontId="0" fillId="5" borderId="0" xfId="0" applyFill="1"/>
    <xf numFmtId="164" fontId="0" fillId="5" borderId="0" xfId="0" applyNumberFormat="1" applyFill="1"/>
    <xf numFmtId="0" fontId="1" fillId="5" borderId="6" xfId="0" applyFont="1" applyFill="1" applyBorder="1"/>
    <xf numFmtId="0" fontId="0" fillId="5" borderId="7" xfId="0" applyFill="1" applyBorder="1"/>
    <xf numFmtId="0" fontId="2" fillId="0" borderId="8" xfId="0" quotePrefix="1" applyNumberFormat="1" applyFont="1" applyBorder="1"/>
    <xf numFmtId="164" fontId="3" fillId="0" borderId="8" xfId="0" applyNumberFormat="1" applyFont="1" applyBorder="1"/>
    <xf numFmtId="0" fontId="0" fillId="0" borderId="8" xfId="0" applyBorder="1"/>
    <xf numFmtId="10" fontId="0" fillId="0" borderId="0" xfId="1" applyNumberFormat="1" applyFont="1"/>
    <xf numFmtId="10" fontId="0" fillId="5" borderId="4" xfId="0" applyNumberFormat="1" applyFill="1" applyBorder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Ln(UVolTO)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40E-E34F-B007-D5B67CE66445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40E-E34F-B007-D5B67CE66445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40E-E34F-B007-D5B67CE66445}"/>
              </c:ext>
            </c:extLst>
          </c:dPt>
          <c:dPt>
            <c:idx val="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40E-E34F-B007-D5B67CE66445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40E-E34F-B007-D5B67CE66445}"/>
              </c:ext>
            </c:extLst>
          </c:dPt>
          <c:dPt>
            <c:idx val="5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C40E-E34F-B007-D5B67CE664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6"/>
                <c:pt idx="0">
                  <c:v>6.8366877038068236E-2</c:v>
                </c:pt>
                <c:pt idx="1">
                  <c:v>6.3871443912631345E-2</c:v>
                </c:pt>
                <c:pt idx="2">
                  <c:v>6.6451280106629915E-2</c:v>
                </c:pt>
                <c:pt idx="3">
                  <c:v>6.3060508145768732E-2</c:v>
                </c:pt>
                <c:pt idx="4">
                  <c:v>6.3074434031562904E-2</c:v>
                </c:pt>
                <c:pt idx="5">
                  <c:v>6.6478524008197204E-2</c:v>
                </c:pt>
              </c:numLit>
            </c:plus>
            <c:minus>
              <c:numLit>
                <c:formatCode>General</c:formatCode>
                <c:ptCount val="6"/>
                <c:pt idx="0">
                  <c:v>6.8366877038068236E-2</c:v>
                </c:pt>
                <c:pt idx="1">
                  <c:v>6.3871443912631345E-2</c:v>
                </c:pt>
                <c:pt idx="2">
                  <c:v>6.6451280106629901E-2</c:v>
                </c:pt>
                <c:pt idx="3">
                  <c:v>6.3060508145768732E-2</c:v>
                </c:pt>
                <c:pt idx="4">
                  <c:v>6.3074434031562904E-2</c:v>
                </c:pt>
                <c:pt idx="5">
                  <c:v>6.6478524008197204E-2</c:v>
                </c:pt>
              </c:numLit>
            </c:minus>
          </c:errBars>
          <c:cat>
            <c:strRef>
              <c:f>'Regr-SalesTO'!$B$82:$B$87</c:f>
              <c:strCache>
                <c:ptCount val="6"/>
                <c:pt idx="0">
                  <c:v>Ln(PriceDiG)</c:v>
                </c:pt>
                <c:pt idx="1">
                  <c:v>Ln(PriceFre)</c:v>
                </c:pt>
                <c:pt idx="2">
                  <c:v>Ln(PriceJO)</c:v>
                </c:pt>
                <c:pt idx="3">
                  <c:v>Ln(PriceRB)</c:v>
                </c:pt>
                <c:pt idx="4">
                  <c:v>Ln(PriceTomb)</c:v>
                </c:pt>
                <c:pt idx="5">
                  <c:v>Ln(PriceTO)</c:v>
                </c:pt>
              </c:strCache>
            </c:strRef>
          </c:cat>
          <c:val>
            <c:numRef>
              <c:f>'Regr-SalesTO'!$C$82:$C$87</c:f>
              <c:numCache>
                <c:formatCode>0.000</c:formatCode>
                <c:ptCount val="6"/>
                <c:pt idx="0">
                  <c:v>5.5399343654677087E-2</c:v>
                </c:pt>
                <c:pt idx="1">
                  <c:v>7.4140254510090722E-2</c:v>
                </c:pt>
                <c:pt idx="2">
                  <c:v>0.11704473223496699</c:v>
                </c:pt>
                <c:pt idx="3">
                  <c:v>4.585968853357901E-2</c:v>
                </c:pt>
                <c:pt idx="4">
                  <c:v>0.15249025621356882</c:v>
                </c:pt>
                <c:pt idx="5">
                  <c:v>-0.95359046576935425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0E-E34F-B007-D5B67CE66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25273487"/>
        <c:axId val="1825337935"/>
      </c:barChart>
      <c:catAx>
        <c:axId val="1825273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25337935"/>
        <c:crosses val="autoZero"/>
        <c:auto val="1"/>
        <c:lblAlgn val="ctr"/>
        <c:lblOffset val="100"/>
        <c:noMultiLvlLbl val="0"/>
      </c:catAx>
      <c:valAx>
        <c:axId val="18253379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2527348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Ln(UVolTO)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'Regr-SalesTO'!$D$115:$D$270</c:f>
              <c:numCache>
                <c:formatCode>0.000</c:formatCode>
                <c:ptCount val="156"/>
                <c:pt idx="0">
                  <c:v>9.3396127076803221</c:v>
                </c:pt>
                <c:pt idx="1">
                  <c:v>9.0431044526002697</c:v>
                </c:pt>
                <c:pt idx="2">
                  <c:v>8.7827830173932018</c:v>
                </c:pt>
                <c:pt idx="3">
                  <c:v>9.146761390333312</c:v>
                </c:pt>
                <c:pt idx="4">
                  <c:v>9.1351856983754232</c:v>
                </c:pt>
                <c:pt idx="5">
                  <c:v>8.7747768160439854</c:v>
                </c:pt>
                <c:pt idx="6">
                  <c:v>8.913011922472597</c:v>
                </c:pt>
                <c:pt idx="7">
                  <c:v>9.1178960815849024</c:v>
                </c:pt>
                <c:pt idx="8">
                  <c:v>9.3772098242112154</c:v>
                </c:pt>
                <c:pt idx="9">
                  <c:v>8.9266503207939394</c:v>
                </c:pt>
                <c:pt idx="10">
                  <c:v>8.2498364854257016</c:v>
                </c:pt>
                <c:pt idx="11">
                  <c:v>10.250192965437369</c:v>
                </c:pt>
                <c:pt idx="12">
                  <c:v>9.074062353683555</c:v>
                </c:pt>
                <c:pt idx="13">
                  <c:v>8.8983656069553572</c:v>
                </c:pt>
                <c:pt idx="14">
                  <c:v>8.7171909332231348</c:v>
                </c:pt>
                <c:pt idx="15">
                  <c:v>9.1546162232038206</c:v>
                </c:pt>
                <c:pt idx="16">
                  <c:v>8.8968617444803915</c:v>
                </c:pt>
                <c:pt idx="17">
                  <c:v>10.27900878427122</c:v>
                </c:pt>
                <c:pt idx="18">
                  <c:v>8.6993480676530925</c:v>
                </c:pt>
                <c:pt idx="19">
                  <c:v>8.6714581504276662</c:v>
                </c:pt>
                <c:pt idx="20">
                  <c:v>8.92052268739398</c:v>
                </c:pt>
                <c:pt idx="21">
                  <c:v>8.621733370690162</c:v>
                </c:pt>
                <c:pt idx="22">
                  <c:v>8.3645081037505893</c:v>
                </c:pt>
                <c:pt idx="23">
                  <c:v>8.8661584922849173</c:v>
                </c:pt>
                <c:pt idx="24">
                  <c:v>9.4763135012657482</c:v>
                </c:pt>
                <c:pt idx="25">
                  <c:v>8.742733867330168</c:v>
                </c:pt>
                <c:pt idx="26">
                  <c:v>8.765146421639022</c:v>
                </c:pt>
                <c:pt idx="27">
                  <c:v>8.8787760717075521</c:v>
                </c:pt>
                <c:pt idx="28">
                  <c:v>9.0254555327790627</c:v>
                </c:pt>
                <c:pt idx="29">
                  <c:v>8.9888205017780702</c:v>
                </c:pt>
                <c:pt idx="30">
                  <c:v>8.8249719655671406</c:v>
                </c:pt>
                <c:pt idx="31">
                  <c:v>8.8434707816273814</c:v>
                </c:pt>
                <c:pt idx="32">
                  <c:v>9.0167556229035171</c:v>
                </c:pt>
                <c:pt idx="33">
                  <c:v>8.7409765380177866</c:v>
                </c:pt>
                <c:pt idx="34">
                  <c:v>8.8879288190033048</c:v>
                </c:pt>
                <c:pt idx="35">
                  <c:v>8.9298325032724026</c:v>
                </c:pt>
                <c:pt idx="36">
                  <c:v>8.8443363327489326</c:v>
                </c:pt>
                <c:pt idx="37">
                  <c:v>8.7122664321353547</c:v>
                </c:pt>
                <c:pt idx="38">
                  <c:v>8.7356859445150192</c:v>
                </c:pt>
                <c:pt idx="39">
                  <c:v>8.7031747090416793</c:v>
                </c:pt>
                <c:pt idx="40">
                  <c:v>8.9874467894171808</c:v>
                </c:pt>
                <c:pt idx="41">
                  <c:v>9.6306284089759853</c:v>
                </c:pt>
                <c:pt idx="42">
                  <c:v>8.8208470333777171</c:v>
                </c:pt>
                <c:pt idx="43">
                  <c:v>8.742733867330168</c:v>
                </c:pt>
                <c:pt idx="44">
                  <c:v>8.5515946181335707</c:v>
                </c:pt>
                <c:pt idx="45">
                  <c:v>10.131817630537638</c:v>
                </c:pt>
                <c:pt idx="46">
                  <c:v>8.8318579351979061</c:v>
                </c:pt>
                <c:pt idx="47">
                  <c:v>9.0556728919640435</c:v>
                </c:pt>
                <c:pt idx="48">
                  <c:v>8.9356403337475712</c:v>
                </c:pt>
                <c:pt idx="49">
                  <c:v>9.5315539276367556</c:v>
                </c:pt>
                <c:pt idx="50">
                  <c:v>8.8255598550608507</c:v>
                </c:pt>
                <c:pt idx="51">
                  <c:v>8.8296654326752364</c:v>
                </c:pt>
                <c:pt idx="52">
                  <c:v>8.8388418134312907</c:v>
                </c:pt>
                <c:pt idx="53">
                  <c:v>8.784468454090355</c:v>
                </c:pt>
                <c:pt idx="54">
                  <c:v>8.7093000489449892</c:v>
                </c:pt>
                <c:pt idx="55">
                  <c:v>8.793156870913819</c:v>
                </c:pt>
                <c:pt idx="56">
                  <c:v>8.7704390865468902</c:v>
                </c:pt>
                <c:pt idx="57">
                  <c:v>8.546169299652755</c:v>
                </c:pt>
                <c:pt idx="58">
                  <c:v>8.4186979446671391</c:v>
                </c:pt>
                <c:pt idx="59">
                  <c:v>8.4497705150988036</c:v>
                </c:pt>
                <c:pt idx="60">
                  <c:v>8.6855848426766933</c:v>
                </c:pt>
                <c:pt idx="61">
                  <c:v>8.5883969504225703</c:v>
                </c:pt>
                <c:pt idx="62">
                  <c:v>8.4821875822174224</c:v>
                </c:pt>
                <c:pt idx="63">
                  <c:v>7.9728107841214042</c:v>
                </c:pt>
                <c:pt idx="64">
                  <c:v>8.0965129175015935</c:v>
                </c:pt>
                <c:pt idx="65">
                  <c:v>8.1653636324739818</c:v>
                </c:pt>
                <c:pt idx="66">
                  <c:v>8.2065836143207527</c:v>
                </c:pt>
                <c:pt idx="67">
                  <c:v>8.1780774638496077</c:v>
                </c:pt>
                <c:pt idx="68">
                  <c:v>8.3686931830977933</c:v>
                </c:pt>
                <c:pt idx="69">
                  <c:v>8.1137260859707467</c:v>
                </c:pt>
                <c:pt idx="70">
                  <c:v>8.2824830037305617</c:v>
                </c:pt>
                <c:pt idx="71">
                  <c:v>8.7795574558837277</c:v>
                </c:pt>
                <c:pt idx="72">
                  <c:v>8.8956296271364828</c:v>
                </c:pt>
                <c:pt idx="73">
                  <c:v>8.9931788923395199</c:v>
                </c:pt>
                <c:pt idx="74">
                  <c:v>10.057538227363054</c:v>
                </c:pt>
                <c:pt idx="75">
                  <c:v>8.3900414057557544</c:v>
                </c:pt>
                <c:pt idx="76">
                  <c:v>8.2087640458196667</c:v>
                </c:pt>
                <c:pt idx="77">
                  <c:v>8.2246995619672347</c:v>
                </c:pt>
                <c:pt idx="78">
                  <c:v>9.6545773745848855</c:v>
                </c:pt>
                <c:pt idx="79">
                  <c:v>8.4957652440026177</c:v>
                </c:pt>
                <c:pt idx="80">
                  <c:v>8.2955485162257627</c:v>
                </c:pt>
                <c:pt idx="81">
                  <c:v>9.588365764325566</c:v>
                </c:pt>
                <c:pt idx="82">
                  <c:v>8.2198647419126516</c:v>
                </c:pt>
                <c:pt idx="83">
                  <c:v>8.2824830037305617</c:v>
                </c:pt>
                <c:pt idx="84">
                  <c:v>8.2432825230483751</c:v>
                </c:pt>
                <c:pt idx="85">
                  <c:v>8.1928471345928653</c:v>
                </c:pt>
                <c:pt idx="86">
                  <c:v>9.5298844175767083</c:v>
                </c:pt>
                <c:pt idx="87">
                  <c:v>8.1847926541650775</c:v>
                </c:pt>
                <c:pt idx="88">
                  <c:v>8.210396255104774</c:v>
                </c:pt>
                <c:pt idx="89">
                  <c:v>8.1104272375750242</c:v>
                </c:pt>
                <c:pt idx="90">
                  <c:v>9.7268100381272582</c:v>
                </c:pt>
                <c:pt idx="91">
                  <c:v>8.473241303887054</c:v>
                </c:pt>
                <c:pt idx="92">
                  <c:v>8.3282094917487317</c:v>
                </c:pt>
                <c:pt idx="93">
                  <c:v>8.2940496401020276</c:v>
                </c:pt>
                <c:pt idx="94">
                  <c:v>8.3827470948633138</c:v>
                </c:pt>
                <c:pt idx="95">
                  <c:v>8.4719865985781588</c:v>
                </c:pt>
                <c:pt idx="96">
                  <c:v>8.464003362902119</c:v>
                </c:pt>
                <c:pt idx="97">
                  <c:v>8.6990146231685106</c:v>
                </c:pt>
                <c:pt idx="98">
                  <c:v>8.5131851700186978</c:v>
                </c:pt>
                <c:pt idx="99">
                  <c:v>9.9007337643395061</c:v>
                </c:pt>
                <c:pt idx="100">
                  <c:v>8.6628507638386001</c:v>
                </c:pt>
                <c:pt idx="101">
                  <c:v>8.2912958519054065</c:v>
                </c:pt>
                <c:pt idx="102">
                  <c:v>9.5153219415060253</c:v>
                </c:pt>
                <c:pt idx="103">
                  <c:v>8.7727652099497853</c:v>
                </c:pt>
                <c:pt idx="104">
                  <c:v>9.547241088215463</c:v>
                </c:pt>
                <c:pt idx="105">
                  <c:v>8.8140332016527836</c:v>
                </c:pt>
                <c:pt idx="106">
                  <c:v>8.6628507638386001</c:v>
                </c:pt>
                <c:pt idx="107">
                  <c:v>8.9903169479982168</c:v>
                </c:pt>
                <c:pt idx="108">
                  <c:v>8.7618633732747266</c:v>
                </c:pt>
                <c:pt idx="109">
                  <c:v>9.4863040514737644</c:v>
                </c:pt>
                <c:pt idx="110">
                  <c:v>8.562931083090092</c:v>
                </c:pt>
                <c:pt idx="111">
                  <c:v>8.3143423433697894</c:v>
                </c:pt>
                <c:pt idx="112">
                  <c:v>8.2912958519054065</c:v>
                </c:pt>
                <c:pt idx="113">
                  <c:v>8.2128395846764839</c:v>
                </c:pt>
                <c:pt idx="114">
                  <c:v>8.0824022539262437</c:v>
                </c:pt>
                <c:pt idx="115">
                  <c:v>9.4441468714586456</c:v>
                </c:pt>
                <c:pt idx="116">
                  <c:v>8.2128395846764839</c:v>
                </c:pt>
                <c:pt idx="117">
                  <c:v>8.0100275284817339</c:v>
                </c:pt>
                <c:pt idx="118">
                  <c:v>7.8961806086154915</c:v>
                </c:pt>
                <c:pt idx="119">
                  <c:v>8.0080328469693072</c:v>
                </c:pt>
                <c:pt idx="120">
                  <c:v>8.1330002185836126</c:v>
                </c:pt>
                <c:pt idx="121">
                  <c:v>7.8872085858139318</c:v>
                </c:pt>
                <c:pt idx="122">
                  <c:v>8.5529463611220553</c:v>
                </c:pt>
                <c:pt idx="123">
                  <c:v>10.216106110277941</c:v>
                </c:pt>
                <c:pt idx="124">
                  <c:v>8.5998785580348454</c:v>
                </c:pt>
                <c:pt idx="125">
                  <c:v>8.153061946801051</c:v>
                </c:pt>
                <c:pt idx="126">
                  <c:v>7.8292325375435921</c:v>
                </c:pt>
                <c:pt idx="127">
                  <c:v>7.9885429827376946</c:v>
                </c:pt>
                <c:pt idx="128">
                  <c:v>7.8853292392731911</c:v>
                </c:pt>
                <c:pt idx="129">
                  <c:v>8.9177127571313868</c:v>
                </c:pt>
                <c:pt idx="130">
                  <c:v>7.6534949096612532</c:v>
                </c:pt>
                <c:pt idx="131">
                  <c:v>10.076347825540569</c:v>
                </c:pt>
                <c:pt idx="132">
                  <c:v>8.0060341787490099</c:v>
                </c:pt>
                <c:pt idx="133">
                  <c:v>7.6515955738576009</c:v>
                </c:pt>
                <c:pt idx="134">
                  <c:v>7.693937325509272</c:v>
                </c:pt>
                <c:pt idx="135">
                  <c:v>7.7084106672573673</c:v>
                </c:pt>
                <c:pt idx="136">
                  <c:v>7.5432733467054458</c:v>
                </c:pt>
                <c:pt idx="137">
                  <c:v>7.6434829070772006</c:v>
                </c:pt>
                <c:pt idx="138">
                  <c:v>9.8903516531429876</c:v>
                </c:pt>
                <c:pt idx="139">
                  <c:v>8.118802996980035</c:v>
                </c:pt>
                <c:pt idx="140">
                  <c:v>9.4721660298827359</c:v>
                </c:pt>
                <c:pt idx="141">
                  <c:v>7.7393592026890978</c:v>
                </c:pt>
                <c:pt idx="142">
                  <c:v>7.8605707855386644</c:v>
                </c:pt>
                <c:pt idx="143">
                  <c:v>7.6539691804787742</c:v>
                </c:pt>
                <c:pt idx="144">
                  <c:v>7.7182409519593156</c:v>
                </c:pt>
                <c:pt idx="145">
                  <c:v>8.3277261664614119</c:v>
                </c:pt>
                <c:pt idx="146">
                  <c:v>7.917536353943631</c:v>
                </c:pt>
                <c:pt idx="147">
                  <c:v>7.6866213349446202</c:v>
                </c:pt>
                <c:pt idx="148">
                  <c:v>7.917536353943631</c:v>
                </c:pt>
                <c:pt idx="149">
                  <c:v>7.5893358231706172</c:v>
                </c:pt>
                <c:pt idx="150">
                  <c:v>9.6196646904100671</c:v>
                </c:pt>
                <c:pt idx="151">
                  <c:v>8.1050055375472461</c:v>
                </c:pt>
                <c:pt idx="152">
                  <c:v>8.0394799191004491</c:v>
                </c:pt>
                <c:pt idx="153">
                  <c:v>7.5973963202127948</c:v>
                </c:pt>
                <c:pt idx="154">
                  <c:v>7.950854857719988</c:v>
                </c:pt>
                <c:pt idx="155">
                  <c:v>9.2846126163507705</c:v>
                </c:pt>
              </c:numCache>
            </c:numRef>
          </c:xVal>
          <c:yVal>
            <c:numRef>
              <c:f>'Regr-SalesTO'!$G$115:$G$270</c:f>
              <c:numCache>
                <c:formatCode>0.000</c:formatCode>
                <c:ptCount val="156"/>
                <c:pt idx="0">
                  <c:v>0.4313598516004204</c:v>
                </c:pt>
                <c:pt idx="1">
                  <c:v>-0.52511052532102054</c:v>
                </c:pt>
                <c:pt idx="2">
                  <c:v>-0.64457146216130379</c:v>
                </c:pt>
                <c:pt idx="3">
                  <c:v>-0.39530020258534954</c:v>
                </c:pt>
                <c:pt idx="4">
                  <c:v>-0.36838458642791178</c:v>
                </c:pt>
                <c:pt idx="5">
                  <c:v>-1.6017583314401644</c:v>
                </c:pt>
                <c:pt idx="6">
                  <c:v>0.65352620004078588</c:v>
                </c:pt>
                <c:pt idx="7">
                  <c:v>0.32899760436640257</c:v>
                </c:pt>
                <c:pt idx="8">
                  <c:v>0.43513812818687519</c:v>
                </c:pt>
                <c:pt idx="9">
                  <c:v>-0.70600478371070174</c:v>
                </c:pt>
                <c:pt idx="10">
                  <c:v>-1.4892805189776248</c:v>
                </c:pt>
                <c:pt idx="11">
                  <c:v>1.558151488020501</c:v>
                </c:pt>
                <c:pt idx="12">
                  <c:v>1.4828825518664226</c:v>
                </c:pt>
                <c:pt idx="13">
                  <c:v>0.93779303933370117</c:v>
                </c:pt>
                <c:pt idx="14">
                  <c:v>-7.1680982130119961E-2</c:v>
                </c:pt>
                <c:pt idx="15">
                  <c:v>0.61867862756377356</c:v>
                </c:pt>
                <c:pt idx="16">
                  <c:v>0.54883689622828102</c:v>
                </c:pt>
                <c:pt idx="17">
                  <c:v>1.9443589573802158</c:v>
                </c:pt>
                <c:pt idx="18">
                  <c:v>0.11998138350366966</c:v>
                </c:pt>
                <c:pt idx="19">
                  <c:v>-0.32673623012096187</c:v>
                </c:pt>
                <c:pt idx="20">
                  <c:v>1.1024732588763977</c:v>
                </c:pt>
                <c:pt idx="21">
                  <c:v>-0.59253457817069233</c:v>
                </c:pt>
                <c:pt idx="22">
                  <c:v>-1.1311789722188026</c:v>
                </c:pt>
                <c:pt idx="23">
                  <c:v>0.92735647080120764</c:v>
                </c:pt>
                <c:pt idx="24">
                  <c:v>3.2252004048697778</c:v>
                </c:pt>
                <c:pt idx="25">
                  <c:v>0.16588133638825708</c:v>
                </c:pt>
                <c:pt idx="26">
                  <c:v>0.20383328558580849</c:v>
                </c:pt>
                <c:pt idx="27">
                  <c:v>0.44772340310808323</c:v>
                </c:pt>
                <c:pt idx="28">
                  <c:v>0.44837943603818697</c:v>
                </c:pt>
                <c:pt idx="29">
                  <c:v>1.0782949015129497</c:v>
                </c:pt>
                <c:pt idx="30">
                  <c:v>0.31695206954442257</c:v>
                </c:pt>
                <c:pt idx="31">
                  <c:v>-0.26825440998859246</c:v>
                </c:pt>
                <c:pt idx="32">
                  <c:v>0.52390489278225449</c:v>
                </c:pt>
                <c:pt idx="33">
                  <c:v>4.0839391685099438E-2</c:v>
                </c:pt>
                <c:pt idx="34">
                  <c:v>6.1515687078949437E-2</c:v>
                </c:pt>
                <c:pt idx="35">
                  <c:v>0.78509313371874134</c:v>
                </c:pt>
                <c:pt idx="36">
                  <c:v>0.5466326745665202</c:v>
                </c:pt>
                <c:pt idx="37">
                  <c:v>0.46117166826316813</c:v>
                </c:pt>
                <c:pt idx="38">
                  <c:v>-0.40073801044298324</c:v>
                </c:pt>
                <c:pt idx="39">
                  <c:v>-0.91471193876834178</c:v>
                </c:pt>
                <c:pt idx="40">
                  <c:v>6.2712299871507587E-2</c:v>
                </c:pt>
                <c:pt idx="41">
                  <c:v>2.8702267573840254</c:v>
                </c:pt>
                <c:pt idx="42">
                  <c:v>3.8553901992901783E-2</c:v>
                </c:pt>
                <c:pt idx="43">
                  <c:v>-0.55454599153956985</c:v>
                </c:pt>
                <c:pt idx="44">
                  <c:v>-0.63037411354586592</c:v>
                </c:pt>
                <c:pt idx="45">
                  <c:v>-0.40017700809151668</c:v>
                </c:pt>
                <c:pt idx="46">
                  <c:v>-0.29955147364257662</c:v>
                </c:pt>
                <c:pt idx="47">
                  <c:v>1.4361126125698964</c:v>
                </c:pt>
                <c:pt idx="48">
                  <c:v>-0.20492823576598732</c:v>
                </c:pt>
                <c:pt idx="49">
                  <c:v>-1.4346068014890245</c:v>
                </c:pt>
                <c:pt idx="50">
                  <c:v>-0.65721213462322425</c:v>
                </c:pt>
                <c:pt idx="51">
                  <c:v>-0.17660968863570925</c:v>
                </c:pt>
                <c:pt idx="52">
                  <c:v>0.13958214049190079</c:v>
                </c:pt>
                <c:pt idx="53">
                  <c:v>-0.69405066976043017</c:v>
                </c:pt>
                <c:pt idx="54">
                  <c:v>-0.21695524304055736</c:v>
                </c:pt>
                <c:pt idx="55">
                  <c:v>0.54673618616794206</c:v>
                </c:pt>
                <c:pt idx="56">
                  <c:v>-0.75458210742547505</c:v>
                </c:pt>
                <c:pt idx="57">
                  <c:v>-1.8761473713488257</c:v>
                </c:pt>
                <c:pt idx="58">
                  <c:v>1.4888006142365495</c:v>
                </c:pt>
                <c:pt idx="59">
                  <c:v>1.4341493151658478</c:v>
                </c:pt>
                <c:pt idx="60">
                  <c:v>2.1610170111112961</c:v>
                </c:pt>
                <c:pt idx="61">
                  <c:v>1.4953576122885732</c:v>
                </c:pt>
                <c:pt idx="62">
                  <c:v>0.56357750434549447</c:v>
                </c:pt>
                <c:pt idx="63">
                  <c:v>0.86349210138029231</c:v>
                </c:pt>
                <c:pt idx="64">
                  <c:v>-4.5583614908235891E-2</c:v>
                </c:pt>
                <c:pt idx="65">
                  <c:v>0.6445342343537569</c:v>
                </c:pt>
                <c:pt idx="66">
                  <c:v>-0.13050077381528311</c:v>
                </c:pt>
                <c:pt idx="67">
                  <c:v>0.33147833946481126</c:v>
                </c:pt>
                <c:pt idx="68">
                  <c:v>0.2816077382088607</c:v>
                </c:pt>
                <c:pt idx="69">
                  <c:v>0.13165560063889928</c:v>
                </c:pt>
                <c:pt idx="70">
                  <c:v>0.59519563804327147</c:v>
                </c:pt>
                <c:pt idx="71">
                  <c:v>-1.3878418588438972</c:v>
                </c:pt>
                <c:pt idx="72">
                  <c:v>-1.5411870873507068</c:v>
                </c:pt>
                <c:pt idx="73">
                  <c:v>-0.54827954172433646</c:v>
                </c:pt>
                <c:pt idx="74">
                  <c:v>-2.2665506537710621E-2</c:v>
                </c:pt>
                <c:pt idx="75">
                  <c:v>-0.27779604259121221</c:v>
                </c:pt>
                <c:pt idx="76">
                  <c:v>0.92200475443128282</c:v>
                </c:pt>
                <c:pt idx="77">
                  <c:v>0.69449162316097413</c:v>
                </c:pt>
                <c:pt idx="78">
                  <c:v>0.50445272582908784</c:v>
                </c:pt>
                <c:pt idx="79">
                  <c:v>1.1978917095379138</c:v>
                </c:pt>
                <c:pt idx="80">
                  <c:v>0.60182981192890139</c:v>
                </c:pt>
                <c:pt idx="81">
                  <c:v>1.1167966660775051</c:v>
                </c:pt>
                <c:pt idx="82">
                  <c:v>-7.9573092997144282E-2</c:v>
                </c:pt>
                <c:pt idx="83">
                  <c:v>0.43745155522237195</c:v>
                </c:pt>
                <c:pt idx="84">
                  <c:v>0.58874104622860635</c:v>
                </c:pt>
                <c:pt idx="85">
                  <c:v>0.58918144004596662</c:v>
                </c:pt>
                <c:pt idx="86">
                  <c:v>0.18762866323365632</c:v>
                </c:pt>
                <c:pt idx="87">
                  <c:v>-0.44690119837986836</c:v>
                </c:pt>
                <c:pt idx="88">
                  <c:v>0.48745627881638054</c:v>
                </c:pt>
                <c:pt idx="89">
                  <c:v>0.75682778314883659</c:v>
                </c:pt>
                <c:pt idx="90">
                  <c:v>1.1145877825800472</c:v>
                </c:pt>
                <c:pt idx="91">
                  <c:v>1.5568316173160026</c:v>
                </c:pt>
                <c:pt idx="92">
                  <c:v>1.0946071498166023</c:v>
                </c:pt>
                <c:pt idx="93">
                  <c:v>-5.0200273911502155E-2</c:v>
                </c:pt>
                <c:pt idx="94">
                  <c:v>0.32992419169469339</c:v>
                </c:pt>
                <c:pt idx="95">
                  <c:v>-1.0725807249268478</c:v>
                </c:pt>
                <c:pt idx="96">
                  <c:v>-0.77658159541232186</c:v>
                </c:pt>
                <c:pt idx="97">
                  <c:v>-0.69569235794303608</c:v>
                </c:pt>
                <c:pt idx="98">
                  <c:v>-0.41076697616907526</c:v>
                </c:pt>
                <c:pt idx="99">
                  <c:v>0.31988304597967837</c:v>
                </c:pt>
                <c:pt idx="100">
                  <c:v>-2.2178100711966784</c:v>
                </c:pt>
                <c:pt idx="101">
                  <c:v>-1.9449459643113918</c:v>
                </c:pt>
                <c:pt idx="102">
                  <c:v>1.0648554567616868E-2</c:v>
                </c:pt>
                <c:pt idx="103">
                  <c:v>-0.95264768897653285</c:v>
                </c:pt>
                <c:pt idx="104">
                  <c:v>2.1162942302346801</c:v>
                </c:pt>
                <c:pt idx="105">
                  <c:v>-0.5967612488441274</c:v>
                </c:pt>
                <c:pt idx="106">
                  <c:v>-0.66075948550689223</c:v>
                </c:pt>
                <c:pt idx="107">
                  <c:v>0.81848710233242716</c:v>
                </c:pt>
                <c:pt idx="108">
                  <c:v>-0.92167622997932042</c:v>
                </c:pt>
                <c:pt idx="109">
                  <c:v>2.033947267208259</c:v>
                </c:pt>
                <c:pt idx="110">
                  <c:v>1.2469411141756261</c:v>
                </c:pt>
                <c:pt idx="111">
                  <c:v>0.97584933518457495</c:v>
                </c:pt>
                <c:pt idx="112">
                  <c:v>1.018209304120453</c:v>
                </c:pt>
                <c:pt idx="113">
                  <c:v>0.85661911422465409</c:v>
                </c:pt>
                <c:pt idx="114">
                  <c:v>7.6605302992096835E-2</c:v>
                </c:pt>
                <c:pt idx="115">
                  <c:v>0.44840344155076006</c:v>
                </c:pt>
                <c:pt idx="116">
                  <c:v>-1.4758931670994886E-3</c:v>
                </c:pt>
                <c:pt idx="117">
                  <c:v>-0.30010796489039593</c:v>
                </c:pt>
                <c:pt idx="118">
                  <c:v>-0.44037287839053429</c:v>
                </c:pt>
                <c:pt idx="119">
                  <c:v>-0.57729777391739312</c:v>
                </c:pt>
                <c:pt idx="120">
                  <c:v>-0.15987997820694405</c:v>
                </c:pt>
                <c:pt idx="121">
                  <c:v>-1.0348567653809961</c:v>
                </c:pt>
                <c:pt idx="122">
                  <c:v>1.3182580154841965</c:v>
                </c:pt>
                <c:pt idx="123">
                  <c:v>0.84229334096132968</c:v>
                </c:pt>
                <c:pt idx="124">
                  <c:v>-1.1211394956111596</c:v>
                </c:pt>
                <c:pt idx="125">
                  <c:v>0.31900938714464128</c:v>
                </c:pt>
                <c:pt idx="126">
                  <c:v>-0.78437335973875644</c:v>
                </c:pt>
                <c:pt idx="127">
                  <c:v>-0.5029661956766126</c:v>
                </c:pt>
                <c:pt idx="128">
                  <c:v>-0.4969924402514555</c:v>
                </c:pt>
                <c:pt idx="129">
                  <c:v>0.25615909663702446</c:v>
                </c:pt>
                <c:pt idx="130">
                  <c:v>-1.4357217525839641</c:v>
                </c:pt>
                <c:pt idx="131">
                  <c:v>0.39792307416998918</c:v>
                </c:pt>
                <c:pt idx="132">
                  <c:v>-1.5269377871697094</c:v>
                </c:pt>
                <c:pt idx="133">
                  <c:v>-0.83703604260795494</c:v>
                </c:pt>
                <c:pt idx="134">
                  <c:v>-0.75678879342869443</c:v>
                </c:pt>
                <c:pt idx="135">
                  <c:v>-1.1432712633187205</c:v>
                </c:pt>
                <c:pt idx="136">
                  <c:v>-0.96920026595825437</c:v>
                </c:pt>
                <c:pt idx="137">
                  <c:v>-0.77811387392191012</c:v>
                </c:pt>
                <c:pt idx="138">
                  <c:v>-0.15157990672574467</c:v>
                </c:pt>
                <c:pt idx="139">
                  <c:v>-1.4185442959434611</c:v>
                </c:pt>
                <c:pt idx="140">
                  <c:v>2.8487753653072986E-2</c:v>
                </c:pt>
                <c:pt idx="141">
                  <c:v>-1.6253927965067165</c:v>
                </c:pt>
                <c:pt idx="142">
                  <c:v>-1.3448235382955362</c:v>
                </c:pt>
                <c:pt idx="143">
                  <c:v>-1.8837157376385056</c:v>
                </c:pt>
                <c:pt idx="144">
                  <c:v>-1.3985323978268225</c:v>
                </c:pt>
                <c:pt idx="145">
                  <c:v>0.52190397020599899</c:v>
                </c:pt>
                <c:pt idx="146">
                  <c:v>0.52618350690686522</c:v>
                </c:pt>
                <c:pt idx="147">
                  <c:v>-0.57137298991927588</c:v>
                </c:pt>
                <c:pt idx="148">
                  <c:v>-0.13805436509555952</c:v>
                </c:pt>
                <c:pt idx="149">
                  <c:v>-1.1598649709741433</c:v>
                </c:pt>
                <c:pt idx="150">
                  <c:v>-1.4496337936211761</c:v>
                </c:pt>
                <c:pt idx="151">
                  <c:v>-0.95390044057853418</c:v>
                </c:pt>
                <c:pt idx="152">
                  <c:v>-0.88866898827145235</c:v>
                </c:pt>
                <c:pt idx="153">
                  <c:v>-1.9291589095686088</c:v>
                </c:pt>
                <c:pt idx="154">
                  <c:v>-0.19868952643960056</c:v>
                </c:pt>
                <c:pt idx="155">
                  <c:v>-0.6973542201076699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70-2541-B936-AA1FA5BA598D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9.0431044526002697</c:v>
              </c:pt>
            </c:numLit>
          </c:xVal>
          <c:yVal>
            <c:numLit>
              <c:formatCode>General</c:formatCode>
              <c:ptCount val="1"/>
              <c:pt idx="0">
                <c:v>-0.52511052532102054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70-2541-B936-AA1FA5BA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942479"/>
        <c:axId val="1782382367"/>
      </c:scatterChart>
      <c:valAx>
        <c:axId val="1844942479"/>
        <c:scaling>
          <c:orientation val="minMax"/>
          <c:max val="10.5"/>
          <c:min val="7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Ln(UVolTO)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82382367"/>
        <c:crosses val="autoZero"/>
        <c:crossBetween val="midCat"/>
      </c:valAx>
      <c:valAx>
        <c:axId val="1782382367"/>
        <c:scaling>
          <c:orientation val="minMax"/>
          <c:max val="4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49424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Pred(Ln(UVolTO))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'Regr-SalesTO'!$E$115:$E$270</c:f>
              <c:numCache>
                <c:formatCode>0.000</c:formatCode>
                <c:ptCount val="156"/>
                <c:pt idx="0">
                  <c:v>9.2362359313626303</c:v>
                </c:pt>
                <c:pt idx="1">
                  <c:v>9.1689488795138381</c:v>
                </c:pt>
                <c:pt idx="2">
                  <c:v>8.9372566421809374</c:v>
                </c:pt>
                <c:pt idx="3">
                  <c:v>9.2414963557441823</c:v>
                </c:pt>
                <c:pt idx="4">
                  <c:v>9.2234702497743335</c:v>
                </c:pt>
                <c:pt idx="5">
                  <c:v>9.15864335376172</c:v>
                </c:pt>
                <c:pt idx="6">
                  <c:v>8.756392265940562</c:v>
                </c:pt>
                <c:pt idx="7">
                  <c:v>9.0390507471629427</c:v>
                </c:pt>
                <c:pt idx="8">
                  <c:v>9.2729275717531383</c:v>
                </c:pt>
                <c:pt idx="9">
                  <c:v>9.0958466387500412</c:v>
                </c:pt>
                <c:pt idx="10">
                  <c:v>8.6067473534942955</c:v>
                </c:pt>
                <c:pt idx="11">
                  <c:v>9.8767769480482883</c:v>
                </c:pt>
                <c:pt idx="12">
                  <c:v>8.7186847790183428</c:v>
                </c:pt>
                <c:pt idx="13">
                  <c:v>8.6736204877705241</c:v>
                </c:pt>
                <c:pt idx="14">
                  <c:v>8.7343695112210753</c:v>
                </c:pt>
                <c:pt idx="15">
                  <c:v>9.0063478995364576</c:v>
                </c:pt>
                <c:pt idx="16">
                  <c:v>8.7653312164403268</c:v>
                </c:pt>
                <c:pt idx="17">
                  <c:v>9.8130369042442673</c:v>
                </c:pt>
                <c:pt idx="18">
                  <c:v>8.6705941430615301</c:v>
                </c:pt>
                <c:pt idx="19">
                  <c:v>8.7497615392358323</c:v>
                </c:pt>
                <c:pt idx="20">
                  <c:v>8.6563114237442615</c:v>
                </c:pt>
                <c:pt idx="21">
                  <c:v>8.7637361888031258</c:v>
                </c:pt>
                <c:pt idx="22">
                  <c:v>8.6355987839622053</c:v>
                </c:pt>
                <c:pt idx="23">
                  <c:v>8.6439145303281038</c:v>
                </c:pt>
                <c:pt idx="24">
                  <c:v>8.7033838472960063</c:v>
                </c:pt>
                <c:pt idx="25">
                  <c:v>8.7029798713487025</c:v>
                </c:pt>
                <c:pt idx="26">
                  <c:v>8.7162971189236096</c:v>
                </c:pt>
                <c:pt idx="27">
                  <c:v>8.7714777176220302</c:v>
                </c:pt>
                <c:pt idx="28">
                  <c:v>8.9179999582910838</c:v>
                </c:pt>
                <c:pt idx="29">
                  <c:v>8.7304036592633203</c:v>
                </c:pt>
                <c:pt idx="30">
                  <c:v>8.7490133823212552</c:v>
                </c:pt>
                <c:pt idx="31">
                  <c:v>8.9077588140781003</c:v>
                </c:pt>
                <c:pt idx="32">
                  <c:v>8.8912001297069345</c:v>
                </c:pt>
                <c:pt idx="33">
                  <c:v>8.7311892464014775</c:v>
                </c:pt>
                <c:pt idx="34">
                  <c:v>8.8731863866707741</c:v>
                </c:pt>
                <c:pt idx="35">
                  <c:v>8.7416824077735313</c:v>
                </c:pt>
                <c:pt idx="36">
                  <c:v>8.7133340535220967</c:v>
                </c:pt>
                <c:pt idx="37">
                  <c:v>8.6017451580362057</c:v>
                </c:pt>
                <c:pt idx="38">
                  <c:v>8.8317240980748828</c:v>
                </c:pt>
                <c:pt idx="39">
                  <c:v>8.9223883682135821</c:v>
                </c:pt>
                <c:pt idx="40">
                  <c:v>8.9724175849788637</c:v>
                </c:pt>
                <c:pt idx="41">
                  <c:v>8.9427693317385497</c:v>
                </c:pt>
                <c:pt idx="42">
                  <c:v>8.8116074667196074</c:v>
                </c:pt>
                <c:pt idx="43">
                  <c:v>8.8756325984303501</c:v>
                </c:pt>
                <c:pt idx="44">
                  <c:v>8.702665802646262</c:v>
                </c:pt>
                <c:pt idx="45">
                  <c:v>10.227721338078972</c:v>
                </c:pt>
                <c:pt idx="46">
                  <c:v>8.9036464096502499</c:v>
                </c:pt>
                <c:pt idx="47">
                  <c:v>8.7115038837314991</c:v>
                </c:pt>
                <c:pt idx="48">
                  <c:v>8.9847520447966183</c:v>
                </c:pt>
                <c:pt idx="49">
                  <c:v>9.875362063398887</c:v>
                </c:pt>
                <c:pt idx="50">
                  <c:v>8.9830628576749021</c:v>
                </c:pt>
                <c:pt idx="51">
                  <c:v>8.8719905127908127</c:v>
                </c:pt>
                <c:pt idx="52">
                  <c:v>8.8053905043629115</c:v>
                </c:pt>
                <c:pt idx="53">
                  <c:v>8.9507999301764301</c:v>
                </c:pt>
                <c:pt idx="54">
                  <c:v>8.7612940709837623</c:v>
                </c:pt>
                <c:pt idx="55">
                  <c:v>8.6621297847986582</c:v>
                </c:pt>
                <c:pt idx="56">
                  <c:v>8.9512771164266738</c:v>
                </c:pt>
                <c:pt idx="57">
                  <c:v>8.9957940536194592</c:v>
                </c:pt>
                <c:pt idx="58">
                  <c:v>8.0619020873138165</c:v>
                </c:pt>
                <c:pt idx="59">
                  <c:v>8.1060720174059639</c:v>
                </c:pt>
                <c:pt idx="60">
                  <c:v>8.1676901629851777</c:v>
                </c:pt>
                <c:pt idx="61">
                  <c:v>8.2300296873892229</c:v>
                </c:pt>
                <c:pt idx="62">
                  <c:v>8.3471244200147989</c:v>
                </c:pt>
                <c:pt idx="63">
                  <c:v>7.7658721237771573</c:v>
                </c:pt>
                <c:pt idx="64">
                  <c:v>8.1074371774776601</c:v>
                </c:pt>
                <c:pt idx="65">
                  <c:v>8.0108989294501036</c:v>
                </c:pt>
                <c:pt idx="66">
                  <c:v>8.2378585446461763</c:v>
                </c:pt>
                <c:pt idx="67">
                  <c:v>8.0986376132796565</c:v>
                </c:pt>
                <c:pt idx="68">
                  <c:v>8.3012049825753316</c:v>
                </c:pt>
                <c:pt idx="69">
                  <c:v>8.0821743976814382</c:v>
                </c:pt>
                <c:pt idx="70">
                  <c:v>8.1398424540572893</c:v>
                </c:pt>
                <c:pt idx="71">
                  <c:v>9.1121582226767757</c:v>
                </c:pt>
                <c:pt idx="72">
                  <c:v>9.2649800713228228</c:v>
                </c:pt>
                <c:pt idx="73">
                  <c:v>9.1245758485794504</c:v>
                </c:pt>
                <c:pt idx="74">
                  <c:v>10.062970088930102</c:v>
                </c:pt>
                <c:pt idx="75">
                  <c:v>8.456616121159481</c:v>
                </c:pt>
                <c:pt idx="76">
                  <c:v>7.9878026399098214</c:v>
                </c:pt>
                <c:pt idx="77">
                  <c:v>8.0582624099799709</c:v>
                </c:pt>
                <c:pt idx="78">
                  <c:v>9.5336836557851345</c:v>
                </c:pt>
                <c:pt idx="79">
                  <c:v>8.208686641647132</c:v>
                </c:pt>
                <c:pt idx="80">
                  <c:v>8.1513180654356319</c:v>
                </c:pt>
                <c:pt idx="81">
                  <c:v>9.3207218500551594</c:v>
                </c:pt>
                <c:pt idx="82">
                  <c:v>8.2389346896723996</c:v>
                </c:pt>
                <c:pt idx="83">
                  <c:v>8.1776463310400764</c:v>
                </c:pt>
                <c:pt idx="84">
                  <c:v>8.102188837070857</c:v>
                </c:pt>
                <c:pt idx="85">
                  <c:v>8.0516479068200688</c:v>
                </c:pt>
                <c:pt idx="86">
                  <c:v>9.4849186047456602</c:v>
                </c:pt>
                <c:pt idx="87">
                  <c:v>8.2918939642420746</c:v>
                </c:pt>
                <c:pt idx="88">
                  <c:v>8.0935757895169509</c:v>
                </c:pt>
                <c:pt idx="89">
                  <c:v>7.9290510242827725</c:v>
                </c:pt>
                <c:pt idx="90">
                  <c:v>9.4596954898940044</c:v>
                </c:pt>
                <c:pt idx="91">
                  <c:v>8.1001415977589328</c:v>
                </c:pt>
                <c:pt idx="92">
                  <c:v>8.0658833664440586</c:v>
                </c:pt>
                <c:pt idx="93">
                  <c:v>8.3060802972621275</c:v>
                </c:pt>
                <c:pt idx="94">
                  <c:v>8.3036797008068746</c:v>
                </c:pt>
                <c:pt idx="95">
                  <c:v>8.7290340202889336</c:v>
                </c:pt>
                <c:pt idx="96">
                  <c:v>8.6501136408603507</c:v>
                </c:pt>
                <c:pt idx="97">
                  <c:v>8.8657395351096078</c:v>
                </c:pt>
                <c:pt idx="98">
                  <c:v>8.6116267974825824</c:v>
                </c:pt>
                <c:pt idx="99">
                  <c:v>9.8240727631606219</c:v>
                </c:pt>
                <c:pt idx="100">
                  <c:v>9.19435608310879</c:v>
                </c:pt>
                <c:pt idx="101">
                  <c:v>8.7574084100320846</c:v>
                </c:pt>
                <c:pt idx="102">
                  <c:v>9.5127699811426325</c:v>
                </c:pt>
                <c:pt idx="103">
                  <c:v>9.0010702937157152</c:v>
                </c:pt>
                <c:pt idx="104">
                  <c:v>9.0400643668546401</c:v>
                </c:pt>
                <c:pt idx="105">
                  <c:v>8.957048954991766</c:v>
                </c:pt>
                <c:pt idx="106">
                  <c:v>8.8212039005053704</c:v>
                </c:pt>
                <c:pt idx="107">
                  <c:v>8.7941638804774271</c:v>
                </c:pt>
                <c:pt idx="108">
                  <c:v>8.9827460472426459</c:v>
                </c:pt>
                <c:pt idx="109">
                  <c:v>8.9988620447500125</c:v>
                </c:pt>
                <c:pt idx="110">
                  <c:v>8.2640976330988423</c:v>
                </c:pt>
                <c:pt idx="111">
                  <c:v>8.0804769104398098</c:v>
                </c:pt>
                <c:pt idx="112">
                  <c:v>8.0472787161285773</c:v>
                </c:pt>
                <c:pt idx="113">
                  <c:v>8.0075480578176244</c:v>
                </c:pt>
                <c:pt idx="114">
                  <c:v>8.0640435465899412</c:v>
                </c:pt>
                <c:pt idx="115">
                  <c:v>9.336685543972342</c:v>
                </c:pt>
                <c:pt idx="116">
                  <c:v>8.2131932872226017</c:v>
                </c:pt>
                <c:pt idx="117">
                  <c:v>8.0819493678521042</c:v>
                </c:pt>
                <c:pt idx="118">
                  <c:v>8.0017173858024577</c:v>
                </c:pt>
                <c:pt idx="119">
                  <c:v>8.1463841159192096</c:v>
                </c:pt>
                <c:pt idx="120">
                  <c:v>8.1713159697678162</c:v>
                </c:pt>
                <c:pt idx="121">
                  <c:v>8.1352153392443363</c:v>
                </c:pt>
                <c:pt idx="122">
                  <c:v>8.2370215862731637</c:v>
                </c:pt>
                <c:pt idx="123">
                  <c:v>10.014247801074193</c:v>
                </c:pt>
                <c:pt idx="124">
                  <c:v>8.8685632453758583</c:v>
                </c:pt>
                <c:pt idx="125">
                  <c:v>8.0766103207729429</c:v>
                </c:pt>
                <c:pt idx="126">
                  <c:v>8.0172101368923183</c:v>
                </c:pt>
                <c:pt idx="127">
                  <c:v>8.1090804498035585</c:v>
                </c:pt>
                <c:pt idx="128">
                  <c:v>8.0044350766311165</c:v>
                </c:pt>
                <c:pt idx="129">
                  <c:v>8.8563234054415183</c:v>
                </c:pt>
                <c:pt idx="130">
                  <c:v>7.9975702470405938</c:v>
                </c:pt>
                <c:pt idx="131">
                  <c:v>9.9809842805154645</c:v>
                </c:pt>
                <c:pt idx="132">
                  <c:v>8.3719697323004674</c:v>
                </c:pt>
                <c:pt idx="133">
                  <c:v>7.8521939545958332</c:v>
                </c:pt>
                <c:pt idx="134">
                  <c:v>7.8753041947896438</c:v>
                </c:pt>
                <c:pt idx="135">
                  <c:v>7.9823993039375019</c:v>
                </c:pt>
                <c:pt idx="136">
                  <c:v>7.7755453088022453</c:v>
                </c:pt>
                <c:pt idx="137">
                  <c:v>7.829960400510295</c:v>
                </c:pt>
                <c:pt idx="138">
                  <c:v>9.926678265491601</c:v>
                </c:pt>
                <c:pt idx="139">
                  <c:v>8.4587617016077559</c:v>
                </c:pt>
                <c:pt idx="140">
                  <c:v>9.4653388480616627</c:v>
                </c:pt>
                <c:pt idx="141">
                  <c:v>8.1288898160028999</c:v>
                </c:pt>
                <c:pt idx="142">
                  <c:v>8.1828620734027133</c:v>
                </c:pt>
                <c:pt idx="143">
                  <c:v>8.1054077177776911</c:v>
                </c:pt>
                <c:pt idx="144">
                  <c:v>8.053403740815968</c:v>
                </c:pt>
                <c:pt idx="145">
                  <c:v>8.2026502007981108</c:v>
                </c:pt>
                <c:pt idx="146">
                  <c:v>7.7914347835407431</c:v>
                </c:pt>
                <c:pt idx="147">
                  <c:v>7.8235527103466378</c:v>
                </c:pt>
                <c:pt idx="148">
                  <c:v>7.9506215267227258</c:v>
                </c:pt>
                <c:pt idx="149">
                  <c:v>7.8673011952799099</c:v>
                </c:pt>
                <c:pt idx="150">
                  <c:v>9.9670740931853654</c:v>
                </c:pt>
                <c:pt idx="151">
                  <c:v>8.3336108472652697</c:v>
                </c:pt>
                <c:pt idx="152">
                  <c:v>8.2524523013937063</c:v>
                </c:pt>
                <c:pt idx="153">
                  <c:v>8.0597254598761996</c:v>
                </c:pt>
                <c:pt idx="154">
                  <c:v>7.9984714420061893</c:v>
                </c:pt>
                <c:pt idx="155">
                  <c:v>9.4517357989065918</c:v>
                </c:pt>
              </c:numCache>
            </c:numRef>
          </c:xVal>
          <c:yVal>
            <c:numRef>
              <c:f>'Regr-SalesTO'!$G$115:$G$270</c:f>
              <c:numCache>
                <c:formatCode>0.000</c:formatCode>
                <c:ptCount val="156"/>
                <c:pt idx="0">
                  <c:v>0.4313598516004204</c:v>
                </c:pt>
                <c:pt idx="1">
                  <c:v>-0.52511052532102054</c:v>
                </c:pt>
                <c:pt idx="2">
                  <c:v>-0.64457146216130379</c:v>
                </c:pt>
                <c:pt idx="3">
                  <c:v>-0.39530020258534954</c:v>
                </c:pt>
                <c:pt idx="4">
                  <c:v>-0.36838458642791178</c:v>
                </c:pt>
                <c:pt idx="5">
                  <c:v>-1.6017583314401644</c:v>
                </c:pt>
                <c:pt idx="6">
                  <c:v>0.65352620004078588</c:v>
                </c:pt>
                <c:pt idx="7">
                  <c:v>0.32899760436640257</c:v>
                </c:pt>
                <c:pt idx="8">
                  <c:v>0.43513812818687519</c:v>
                </c:pt>
                <c:pt idx="9">
                  <c:v>-0.70600478371070174</c:v>
                </c:pt>
                <c:pt idx="10">
                  <c:v>-1.4892805189776248</c:v>
                </c:pt>
                <c:pt idx="11">
                  <c:v>1.558151488020501</c:v>
                </c:pt>
                <c:pt idx="12">
                  <c:v>1.4828825518664226</c:v>
                </c:pt>
                <c:pt idx="13">
                  <c:v>0.93779303933370117</c:v>
                </c:pt>
                <c:pt idx="14">
                  <c:v>-7.1680982130119961E-2</c:v>
                </c:pt>
                <c:pt idx="15">
                  <c:v>0.61867862756377356</c:v>
                </c:pt>
                <c:pt idx="16">
                  <c:v>0.54883689622828102</c:v>
                </c:pt>
                <c:pt idx="17">
                  <c:v>1.9443589573802158</c:v>
                </c:pt>
                <c:pt idx="18">
                  <c:v>0.11998138350366966</c:v>
                </c:pt>
                <c:pt idx="19">
                  <c:v>-0.32673623012096187</c:v>
                </c:pt>
                <c:pt idx="20">
                  <c:v>1.1024732588763977</c:v>
                </c:pt>
                <c:pt idx="21">
                  <c:v>-0.59253457817069233</c:v>
                </c:pt>
                <c:pt idx="22">
                  <c:v>-1.1311789722188026</c:v>
                </c:pt>
                <c:pt idx="23">
                  <c:v>0.92735647080120764</c:v>
                </c:pt>
                <c:pt idx="24">
                  <c:v>3.2252004048697778</c:v>
                </c:pt>
                <c:pt idx="25">
                  <c:v>0.16588133638825708</c:v>
                </c:pt>
                <c:pt idx="26">
                  <c:v>0.20383328558580849</c:v>
                </c:pt>
                <c:pt idx="27">
                  <c:v>0.44772340310808323</c:v>
                </c:pt>
                <c:pt idx="28">
                  <c:v>0.44837943603818697</c:v>
                </c:pt>
                <c:pt idx="29">
                  <c:v>1.0782949015129497</c:v>
                </c:pt>
                <c:pt idx="30">
                  <c:v>0.31695206954442257</c:v>
                </c:pt>
                <c:pt idx="31">
                  <c:v>-0.26825440998859246</c:v>
                </c:pt>
                <c:pt idx="32">
                  <c:v>0.52390489278225449</c:v>
                </c:pt>
                <c:pt idx="33">
                  <c:v>4.0839391685099438E-2</c:v>
                </c:pt>
                <c:pt idx="34">
                  <c:v>6.1515687078949437E-2</c:v>
                </c:pt>
                <c:pt idx="35">
                  <c:v>0.78509313371874134</c:v>
                </c:pt>
                <c:pt idx="36">
                  <c:v>0.5466326745665202</c:v>
                </c:pt>
                <c:pt idx="37">
                  <c:v>0.46117166826316813</c:v>
                </c:pt>
                <c:pt idx="38">
                  <c:v>-0.40073801044298324</c:v>
                </c:pt>
                <c:pt idx="39">
                  <c:v>-0.91471193876834178</c:v>
                </c:pt>
                <c:pt idx="40">
                  <c:v>6.2712299871507587E-2</c:v>
                </c:pt>
                <c:pt idx="41">
                  <c:v>2.8702267573840254</c:v>
                </c:pt>
                <c:pt idx="42">
                  <c:v>3.8553901992901783E-2</c:v>
                </c:pt>
                <c:pt idx="43">
                  <c:v>-0.55454599153956985</c:v>
                </c:pt>
                <c:pt idx="44">
                  <c:v>-0.63037411354586592</c:v>
                </c:pt>
                <c:pt idx="45">
                  <c:v>-0.40017700809151668</c:v>
                </c:pt>
                <c:pt idx="46">
                  <c:v>-0.29955147364257662</c:v>
                </c:pt>
                <c:pt idx="47">
                  <c:v>1.4361126125698964</c:v>
                </c:pt>
                <c:pt idx="48">
                  <c:v>-0.20492823576598732</c:v>
                </c:pt>
                <c:pt idx="49">
                  <c:v>-1.4346068014890245</c:v>
                </c:pt>
                <c:pt idx="50">
                  <c:v>-0.65721213462322425</c:v>
                </c:pt>
                <c:pt idx="51">
                  <c:v>-0.17660968863570925</c:v>
                </c:pt>
                <c:pt idx="52">
                  <c:v>0.13958214049190079</c:v>
                </c:pt>
                <c:pt idx="53">
                  <c:v>-0.69405066976043017</c:v>
                </c:pt>
                <c:pt idx="54">
                  <c:v>-0.21695524304055736</c:v>
                </c:pt>
                <c:pt idx="55">
                  <c:v>0.54673618616794206</c:v>
                </c:pt>
                <c:pt idx="56">
                  <c:v>-0.75458210742547505</c:v>
                </c:pt>
                <c:pt idx="57">
                  <c:v>-1.8761473713488257</c:v>
                </c:pt>
                <c:pt idx="58">
                  <c:v>1.4888006142365495</c:v>
                </c:pt>
                <c:pt idx="59">
                  <c:v>1.4341493151658478</c:v>
                </c:pt>
                <c:pt idx="60">
                  <c:v>2.1610170111112961</c:v>
                </c:pt>
                <c:pt idx="61">
                  <c:v>1.4953576122885732</c:v>
                </c:pt>
                <c:pt idx="62">
                  <c:v>0.56357750434549447</c:v>
                </c:pt>
                <c:pt idx="63">
                  <c:v>0.86349210138029231</c:v>
                </c:pt>
                <c:pt idx="64">
                  <c:v>-4.5583614908235891E-2</c:v>
                </c:pt>
                <c:pt idx="65">
                  <c:v>0.6445342343537569</c:v>
                </c:pt>
                <c:pt idx="66">
                  <c:v>-0.13050077381528311</c:v>
                </c:pt>
                <c:pt idx="67">
                  <c:v>0.33147833946481126</c:v>
                </c:pt>
                <c:pt idx="68">
                  <c:v>0.2816077382088607</c:v>
                </c:pt>
                <c:pt idx="69">
                  <c:v>0.13165560063889928</c:v>
                </c:pt>
                <c:pt idx="70">
                  <c:v>0.59519563804327147</c:v>
                </c:pt>
                <c:pt idx="71">
                  <c:v>-1.3878418588438972</c:v>
                </c:pt>
                <c:pt idx="72">
                  <c:v>-1.5411870873507068</c:v>
                </c:pt>
                <c:pt idx="73">
                  <c:v>-0.54827954172433646</c:v>
                </c:pt>
                <c:pt idx="74">
                  <c:v>-2.2665506537710621E-2</c:v>
                </c:pt>
                <c:pt idx="75">
                  <c:v>-0.27779604259121221</c:v>
                </c:pt>
                <c:pt idx="76">
                  <c:v>0.92200475443128282</c:v>
                </c:pt>
                <c:pt idx="77">
                  <c:v>0.69449162316097413</c:v>
                </c:pt>
                <c:pt idx="78">
                  <c:v>0.50445272582908784</c:v>
                </c:pt>
                <c:pt idx="79">
                  <c:v>1.1978917095379138</c:v>
                </c:pt>
                <c:pt idx="80">
                  <c:v>0.60182981192890139</c:v>
                </c:pt>
                <c:pt idx="81">
                  <c:v>1.1167966660775051</c:v>
                </c:pt>
                <c:pt idx="82">
                  <c:v>-7.9573092997144282E-2</c:v>
                </c:pt>
                <c:pt idx="83">
                  <c:v>0.43745155522237195</c:v>
                </c:pt>
                <c:pt idx="84">
                  <c:v>0.58874104622860635</c:v>
                </c:pt>
                <c:pt idx="85">
                  <c:v>0.58918144004596662</c:v>
                </c:pt>
                <c:pt idx="86">
                  <c:v>0.18762866323365632</c:v>
                </c:pt>
                <c:pt idx="87">
                  <c:v>-0.44690119837986836</c:v>
                </c:pt>
                <c:pt idx="88">
                  <c:v>0.48745627881638054</c:v>
                </c:pt>
                <c:pt idx="89">
                  <c:v>0.75682778314883659</c:v>
                </c:pt>
                <c:pt idx="90">
                  <c:v>1.1145877825800472</c:v>
                </c:pt>
                <c:pt idx="91">
                  <c:v>1.5568316173160026</c:v>
                </c:pt>
                <c:pt idx="92">
                  <c:v>1.0946071498166023</c:v>
                </c:pt>
                <c:pt idx="93">
                  <c:v>-5.0200273911502155E-2</c:v>
                </c:pt>
                <c:pt idx="94">
                  <c:v>0.32992419169469339</c:v>
                </c:pt>
                <c:pt idx="95">
                  <c:v>-1.0725807249268478</c:v>
                </c:pt>
                <c:pt idx="96">
                  <c:v>-0.77658159541232186</c:v>
                </c:pt>
                <c:pt idx="97">
                  <c:v>-0.69569235794303608</c:v>
                </c:pt>
                <c:pt idx="98">
                  <c:v>-0.41076697616907526</c:v>
                </c:pt>
                <c:pt idx="99">
                  <c:v>0.31988304597967837</c:v>
                </c:pt>
                <c:pt idx="100">
                  <c:v>-2.2178100711966784</c:v>
                </c:pt>
                <c:pt idx="101">
                  <c:v>-1.9449459643113918</c:v>
                </c:pt>
                <c:pt idx="102">
                  <c:v>1.0648554567616868E-2</c:v>
                </c:pt>
                <c:pt idx="103">
                  <c:v>-0.95264768897653285</c:v>
                </c:pt>
                <c:pt idx="104">
                  <c:v>2.1162942302346801</c:v>
                </c:pt>
                <c:pt idx="105">
                  <c:v>-0.5967612488441274</c:v>
                </c:pt>
                <c:pt idx="106">
                  <c:v>-0.66075948550689223</c:v>
                </c:pt>
                <c:pt idx="107">
                  <c:v>0.81848710233242716</c:v>
                </c:pt>
                <c:pt idx="108">
                  <c:v>-0.92167622997932042</c:v>
                </c:pt>
                <c:pt idx="109">
                  <c:v>2.033947267208259</c:v>
                </c:pt>
                <c:pt idx="110">
                  <c:v>1.2469411141756261</c:v>
                </c:pt>
                <c:pt idx="111">
                  <c:v>0.97584933518457495</c:v>
                </c:pt>
                <c:pt idx="112">
                  <c:v>1.018209304120453</c:v>
                </c:pt>
                <c:pt idx="113">
                  <c:v>0.85661911422465409</c:v>
                </c:pt>
                <c:pt idx="114">
                  <c:v>7.6605302992096835E-2</c:v>
                </c:pt>
                <c:pt idx="115">
                  <c:v>0.44840344155076006</c:v>
                </c:pt>
                <c:pt idx="116">
                  <c:v>-1.4758931670994886E-3</c:v>
                </c:pt>
                <c:pt idx="117">
                  <c:v>-0.30010796489039593</c:v>
                </c:pt>
                <c:pt idx="118">
                  <c:v>-0.44037287839053429</c:v>
                </c:pt>
                <c:pt idx="119">
                  <c:v>-0.57729777391739312</c:v>
                </c:pt>
                <c:pt idx="120">
                  <c:v>-0.15987997820694405</c:v>
                </c:pt>
                <c:pt idx="121">
                  <c:v>-1.0348567653809961</c:v>
                </c:pt>
                <c:pt idx="122">
                  <c:v>1.3182580154841965</c:v>
                </c:pt>
                <c:pt idx="123">
                  <c:v>0.84229334096132968</c:v>
                </c:pt>
                <c:pt idx="124">
                  <c:v>-1.1211394956111596</c:v>
                </c:pt>
                <c:pt idx="125">
                  <c:v>0.31900938714464128</c:v>
                </c:pt>
                <c:pt idx="126">
                  <c:v>-0.78437335973875644</c:v>
                </c:pt>
                <c:pt idx="127">
                  <c:v>-0.5029661956766126</c:v>
                </c:pt>
                <c:pt idx="128">
                  <c:v>-0.4969924402514555</c:v>
                </c:pt>
                <c:pt idx="129">
                  <c:v>0.25615909663702446</c:v>
                </c:pt>
                <c:pt idx="130">
                  <c:v>-1.4357217525839641</c:v>
                </c:pt>
                <c:pt idx="131">
                  <c:v>0.39792307416998918</c:v>
                </c:pt>
                <c:pt idx="132">
                  <c:v>-1.5269377871697094</c:v>
                </c:pt>
                <c:pt idx="133">
                  <c:v>-0.83703604260795494</c:v>
                </c:pt>
                <c:pt idx="134">
                  <c:v>-0.75678879342869443</c:v>
                </c:pt>
                <c:pt idx="135">
                  <c:v>-1.1432712633187205</c:v>
                </c:pt>
                <c:pt idx="136">
                  <c:v>-0.96920026595825437</c:v>
                </c:pt>
                <c:pt idx="137">
                  <c:v>-0.77811387392191012</c:v>
                </c:pt>
                <c:pt idx="138">
                  <c:v>-0.15157990672574467</c:v>
                </c:pt>
                <c:pt idx="139">
                  <c:v>-1.4185442959434611</c:v>
                </c:pt>
                <c:pt idx="140">
                  <c:v>2.8487753653072986E-2</c:v>
                </c:pt>
                <c:pt idx="141">
                  <c:v>-1.6253927965067165</c:v>
                </c:pt>
                <c:pt idx="142">
                  <c:v>-1.3448235382955362</c:v>
                </c:pt>
                <c:pt idx="143">
                  <c:v>-1.8837157376385056</c:v>
                </c:pt>
                <c:pt idx="144">
                  <c:v>-1.3985323978268225</c:v>
                </c:pt>
                <c:pt idx="145">
                  <c:v>0.52190397020599899</c:v>
                </c:pt>
                <c:pt idx="146">
                  <c:v>0.52618350690686522</c:v>
                </c:pt>
                <c:pt idx="147">
                  <c:v>-0.57137298991927588</c:v>
                </c:pt>
                <c:pt idx="148">
                  <c:v>-0.13805436509555952</c:v>
                </c:pt>
                <c:pt idx="149">
                  <c:v>-1.1598649709741433</c:v>
                </c:pt>
                <c:pt idx="150">
                  <c:v>-1.4496337936211761</c:v>
                </c:pt>
                <c:pt idx="151">
                  <c:v>-0.95390044057853418</c:v>
                </c:pt>
                <c:pt idx="152">
                  <c:v>-0.88866898827145235</c:v>
                </c:pt>
                <c:pt idx="153">
                  <c:v>-1.9291589095686088</c:v>
                </c:pt>
                <c:pt idx="154">
                  <c:v>-0.19868952643960056</c:v>
                </c:pt>
                <c:pt idx="155">
                  <c:v>-0.6973542201076699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80-524E-9C53-E04B2E4B050A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9.1689488795138381</c:v>
              </c:pt>
            </c:numLit>
          </c:xVal>
          <c:yVal>
            <c:numLit>
              <c:formatCode>General</c:formatCode>
              <c:ptCount val="1"/>
              <c:pt idx="0">
                <c:v>-0.52511052532102054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980-524E-9C53-E04B2E4B0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678623"/>
        <c:axId val="1825214831"/>
      </c:scatterChart>
      <c:valAx>
        <c:axId val="1824678623"/>
        <c:scaling>
          <c:orientation val="minMax"/>
          <c:max val="10.5"/>
          <c:min val="7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Pred(Ln(UVolTO))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25214831"/>
        <c:crosses val="autoZero"/>
        <c:crossBetween val="midCat"/>
      </c:valAx>
      <c:valAx>
        <c:axId val="1825214831"/>
        <c:scaling>
          <c:orientation val="minMax"/>
          <c:max val="4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2467862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Pred(Ln(UVolTO)) - Ln(UVolTO)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'Regr-SalesTO'!$E$115:$E$270</c:f>
              <c:numCache>
                <c:formatCode>0.000</c:formatCode>
                <c:ptCount val="156"/>
                <c:pt idx="0">
                  <c:v>9.2362359313626303</c:v>
                </c:pt>
                <c:pt idx="1">
                  <c:v>9.1689488795138381</c:v>
                </c:pt>
                <c:pt idx="2">
                  <c:v>8.9372566421809374</c:v>
                </c:pt>
                <c:pt idx="3">
                  <c:v>9.2414963557441823</c:v>
                </c:pt>
                <c:pt idx="4">
                  <c:v>9.2234702497743335</c:v>
                </c:pt>
                <c:pt idx="5">
                  <c:v>9.15864335376172</c:v>
                </c:pt>
                <c:pt idx="6">
                  <c:v>8.756392265940562</c:v>
                </c:pt>
                <c:pt idx="7">
                  <c:v>9.0390507471629427</c:v>
                </c:pt>
                <c:pt idx="8">
                  <c:v>9.2729275717531383</c:v>
                </c:pt>
                <c:pt idx="9">
                  <c:v>9.0958466387500412</c:v>
                </c:pt>
                <c:pt idx="10">
                  <c:v>8.6067473534942955</c:v>
                </c:pt>
                <c:pt idx="11">
                  <c:v>9.8767769480482883</c:v>
                </c:pt>
                <c:pt idx="12">
                  <c:v>8.7186847790183428</c:v>
                </c:pt>
                <c:pt idx="13">
                  <c:v>8.6736204877705241</c:v>
                </c:pt>
                <c:pt idx="14">
                  <c:v>8.7343695112210753</c:v>
                </c:pt>
                <c:pt idx="15">
                  <c:v>9.0063478995364576</c:v>
                </c:pt>
                <c:pt idx="16">
                  <c:v>8.7653312164403268</c:v>
                </c:pt>
                <c:pt idx="17">
                  <c:v>9.8130369042442673</c:v>
                </c:pt>
                <c:pt idx="18">
                  <c:v>8.6705941430615301</c:v>
                </c:pt>
                <c:pt idx="19">
                  <c:v>8.7497615392358323</c:v>
                </c:pt>
                <c:pt idx="20">
                  <c:v>8.6563114237442615</c:v>
                </c:pt>
                <c:pt idx="21">
                  <c:v>8.7637361888031258</c:v>
                </c:pt>
                <c:pt idx="22">
                  <c:v>8.6355987839622053</c:v>
                </c:pt>
                <c:pt idx="23">
                  <c:v>8.6439145303281038</c:v>
                </c:pt>
                <c:pt idx="24">
                  <c:v>8.7033838472960063</c:v>
                </c:pt>
                <c:pt idx="25">
                  <c:v>8.7029798713487025</c:v>
                </c:pt>
                <c:pt idx="26">
                  <c:v>8.7162971189236096</c:v>
                </c:pt>
                <c:pt idx="27">
                  <c:v>8.7714777176220302</c:v>
                </c:pt>
                <c:pt idx="28">
                  <c:v>8.9179999582910838</c:v>
                </c:pt>
                <c:pt idx="29">
                  <c:v>8.7304036592633203</c:v>
                </c:pt>
                <c:pt idx="30">
                  <c:v>8.7490133823212552</c:v>
                </c:pt>
                <c:pt idx="31">
                  <c:v>8.9077588140781003</c:v>
                </c:pt>
                <c:pt idx="32">
                  <c:v>8.8912001297069345</c:v>
                </c:pt>
                <c:pt idx="33">
                  <c:v>8.7311892464014775</c:v>
                </c:pt>
                <c:pt idx="34">
                  <c:v>8.8731863866707741</c:v>
                </c:pt>
                <c:pt idx="35">
                  <c:v>8.7416824077735313</c:v>
                </c:pt>
                <c:pt idx="36">
                  <c:v>8.7133340535220967</c:v>
                </c:pt>
                <c:pt idx="37">
                  <c:v>8.6017451580362057</c:v>
                </c:pt>
                <c:pt idx="38">
                  <c:v>8.8317240980748828</c:v>
                </c:pt>
                <c:pt idx="39">
                  <c:v>8.9223883682135821</c:v>
                </c:pt>
                <c:pt idx="40">
                  <c:v>8.9724175849788637</c:v>
                </c:pt>
                <c:pt idx="41">
                  <c:v>8.9427693317385497</c:v>
                </c:pt>
                <c:pt idx="42">
                  <c:v>8.8116074667196074</c:v>
                </c:pt>
                <c:pt idx="43">
                  <c:v>8.8756325984303501</c:v>
                </c:pt>
                <c:pt idx="44">
                  <c:v>8.702665802646262</c:v>
                </c:pt>
                <c:pt idx="45">
                  <c:v>10.227721338078972</c:v>
                </c:pt>
                <c:pt idx="46">
                  <c:v>8.9036464096502499</c:v>
                </c:pt>
                <c:pt idx="47">
                  <c:v>8.7115038837314991</c:v>
                </c:pt>
                <c:pt idx="48">
                  <c:v>8.9847520447966183</c:v>
                </c:pt>
                <c:pt idx="49">
                  <c:v>9.875362063398887</c:v>
                </c:pt>
                <c:pt idx="50">
                  <c:v>8.9830628576749021</c:v>
                </c:pt>
                <c:pt idx="51">
                  <c:v>8.8719905127908127</c:v>
                </c:pt>
                <c:pt idx="52">
                  <c:v>8.8053905043629115</c:v>
                </c:pt>
                <c:pt idx="53">
                  <c:v>8.9507999301764301</c:v>
                </c:pt>
                <c:pt idx="54">
                  <c:v>8.7612940709837623</c:v>
                </c:pt>
                <c:pt idx="55">
                  <c:v>8.6621297847986582</c:v>
                </c:pt>
                <c:pt idx="56">
                  <c:v>8.9512771164266738</c:v>
                </c:pt>
                <c:pt idx="57">
                  <c:v>8.9957940536194592</c:v>
                </c:pt>
                <c:pt idx="58">
                  <c:v>8.0619020873138165</c:v>
                </c:pt>
                <c:pt idx="59">
                  <c:v>8.1060720174059639</c:v>
                </c:pt>
                <c:pt idx="60">
                  <c:v>8.1676901629851777</c:v>
                </c:pt>
                <c:pt idx="61">
                  <c:v>8.2300296873892229</c:v>
                </c:pt>
                <c:pt idx="62">
                  <c:v>8.3471244200147989</c:v>
                </c:pt>
                <c:pt idx="63">
                  <c:v>7.7658721237771573</c:v>
                </c:pt>
                <c:pt idx="64">
                  <c:v>8.1074371774776601</c:v>
                </c:pt>
                <c:pt idx="65">
                  <c:v>8.0108989294501036</c:v>
                </c:pt>
                <c:pt idx="66">
                  <c:v>8.2378585446461763</c:v>
                </c:pt>
                <c:pt idx="67">
                  <c:v>8.0986376132796565</c:v>
                </c:pt>
                <c:pt idx="68">
                  <c:v>8.3012049825753316</c:v>
                </c:pt>
                <c:pt idx="69">
                  <c:v>8.0821743976814382</c:v>
                </c:pt>
                <c:pt idx="70">
                  <c:v>8.1398424540572893</c:v>
                </c:pt>
                <c:pt idx="71">
                  <c:v>9.1121582226767757</c:v>
                </c:pt>
                <c:pt idx="72">
                  <c:v>9.2649800713228228</c:v>
                </c:pt>
                <c:pt idx="73">
                  <c:v>9.1245758485794504</c:v>
                </c:pt>
                <c:pt idx="74">
                  <c:v>10.062970088930102</c:v>
                </c:pt>
                <c:pt idx="75">
                  <c:v>8.456616121159481</c:v>
                </c:pt>
                <c:pt idx="76">
                  <c:v>7.9878026399098214</c:v>
                </c:pt>
                <c:pt idx="77">
                  <c:v>8.0582624099799709</c:v>
                </c:pt>
                <c:pt idx="78">
                  <c:v>9.5336836557851345</c:v>
                </c:pt>
                <c:pt idx="79">
                  <c:v>8.208686641647132</c:v>
                </c:pt>
                <c:pt idx="80">
                  <c:v>8.1513180654356319</c:v>
                </c:pt>
                <c:pt idx="81">
                  <c:v>9.3207218500551594</c:v>
                </c:pt>
                <c:pt idx="82">
                  <c:v>8.2389346896723996</c:v>
                </c:pt>
                <c:pt idx="83">
                  <c:v>8.1776463310400764</c:v>
                </c:pt>
                <c:pt idx="84">
                  <c:v>8.102188837070857</c:v>
                </c:pt>
                <c:pt idx="85">
                  <c:v>8.0516479068200688</c:v>
                </c:pt>
                <c:pt idx="86">
                  <c:v>9.4849186047456602</c:v>
                </c:pt>
                <c:pt idx="87">
                  <c:v>8.2918939642420746</c:v>
                </c:pt>
                <c:pt idx="88">
                  <c:v>8.0935757895169509</c:v>
                </c:pt>
                <c:pt idx="89">
                  <c:v>7.9290510242827725</c:v>
                </c:pt>
                <c:pt idx="90">
                  <c:v>9.4596954898940044</c:v>
                </c:pt>
                <c:pt idx="91">
                  <c:v>8.1001415977589328</c:v>
                </c:pt>
                <c:pt idx="92">
                  <c:v>8.0658833664440586</c:v>
                </c:pt>
                <c:pt idx="93">
                  <c:v>8.3060802972621275</c:v>
                </c:pt>
                <c:pt idx="94">
                  <c:v>8.3036797008068746</c:v>
                </c:pt>
                <c:pt idx="95">
                  <c:v>8.7290340202889336</c:v>
                </c:pt>
                <c:pt idx="96">
                  <c:v>8.6501136408603507</c:v>
                </c:pt>
                <c:pt idx="97">
                  <c:v>8.8657395351096078</c:v>
                </c:pt>
                <c:pt idx="98">
                  <c:v>8.6116267974825824</c:v>
                </c:pt>
                <c:pt idx="99">
                  <c:v>9.8240727631606219</c:v>
                </c:pt>
                <c:pt idx="100">
                  <c:v>9.19435608310879</c:v>
                </c:pt>
                <c:pt idx="101">
                  <c:v>8.7574084100320846</c:v>
                </c:pt>
                <c:pt idx="102">
                  <c:v>9.5127699811426325</c:v>
                </c:pt>
                <c:pt idx="103">
                  <c:v>9.0010702937157152</c:v>
                </c:pt>
                <c:pt idx="104">
                  <c:v>9.0400643668546401</c:v>
                </c:pt>
                <c:pt idx="105">
                  <c:v>8.957048954991766</c:v>
                </c:pt>
                <c:pt idx="106">
                  <c:v>8.8212039005053704</c:v>
                </c:pt>
                <c:pt idx="107">
                  <c:v>8.7941638804774271</c:v>
                </c:pt>
                <c:pt idx="108">
                  <c:v>8.9827460472426459</c:v>
                </c:pt>
                <c:pt idx="109">
                  <c:v>8.9988620447500125</c:v>
                </c:pt>
                <c:pt idx="110">
                  <c:v>8.2640976330988423</c:v>
                </c:pt>
                <c:pt idx="111">
                  <c:v>8.0804769104398098</c:v>
                </c:pt>
                <c:pt idx="112">
                  <c:v>8.0472787161285773</c:v>
                </c:pt>
                <c:pt idx="113">
                  <c:v>8.0075480578176244</c:v>
                </c:pt>
                <c:pt idx="114">
                  <c:v>8.0640435465899412</c:v>
                </c:pt>
                <c:pt idx="115">
                  <c:v>9.336685543972342</c:v>
                </c:pt>
                <c:pt idx="116">
                  <c:v>8.2131932872226017</c:v>
                </c:pt>
                <c:pt idx="117">
                  <c:v>8.0819493678521042</c:v>
                </c:pt>
                <c:pt idx="118">
                  <c:v>8.0017173858024577</c:v>
                </c:pt>
                <c:pt idx="119">
                  <c:v>8.1463841159192096</c:v>
                </c:pt>
                <c:pt idx="120">
                  <c:v>8.1713159697678162</c:v>
                </c:pt>
                <c:pt idx="121">
                  <c:v>8.1352153392443363</c:v>
                </c:pt>
                <c:pt idx="122">
                  <c:v>8.2370215862731637</c:v>
                </c:pt>
                <c:pt idx="123">
                  <c:v>10.014247801074193</c:v>
                </c:pt>
                <c:pt idx="124">
                  <c:v>8.8685632453758583</c:v>
                </c:pt>
                <c:pt idx="125">
                  <c:v>8.0766103207729429</c:v>
                </c:pt>
                <c:pt idx="126">
                  <c:v>8.0172101368923183</c:v>
                </c:pt>
                <c:pt idx="127">
                  <c:v>8.1090804498035585</c:v>
                </c:pt>
                <c:pt idx="128">
                  <c:v>8.0044350766311165</c:v>
                </c:pt>
                <c:pt idx="129">
                  <c:v>8.8563234054415183</c:v>
                </c:pt>
                <c:pt idx="130">
                  <c:v>7.9975702470405938</c:v>
                </c:pt>
                <c:pt idx="131">
                  <c:v>9.9809842805154645</c:v>
                </c:pt>
                <c:pt idx="132">
                  <c:v>8.3719697323004674</c:v>
                </c:pt>
                <c:pt idx="133">
                  <c:v>7.8521939545958332</c:v>
                </c:pt>
                <c:pt idx="134">
                  <c:v>7.8753041947896438</c:v>
                </c:pt>
                <c:pt idx="135">
                  <c:v>7.9823993039375019</c:v>
                </c:pt>
                <c:pt idx="136">
                  <c:v>7.7755453088022453</c:v>
                </c:pt>
                <c:pt idx="137">
                  <c:v>7.829960400510295</c:v>
                </c:pt>
                <c:pt idx="138">
                  <c:v>9.926678265491601</c:v>
                </c:pt>
                <c:pt idx="139">
                  <c:v>8.4587617016077559</c:v>
                </c:pt>
                <c:pt idx="140">
                  <c:v>9.4653388480616627</c:v>
                </c:pt>
                <c:pt idx="141">
                  <c:v>8.1288898160028999</c:v>
                </c:pt>
                <c:pt idx="142">
                  <c:v>8.1828620734027133</c:v>
                </c:pt>
                <c:pt idx="143">
                  <c:v>8.1054077177776911</c:v>
                </c:pt>
                <c:pt idx="144">
                  <c:v>8.053403740815968</c:v>
                </c:pt>
                <c:pt idx="145">
                  <c:v>8.2026502007981108</c:v>
                </c:pt>
                <c:pt idx="146">
                  <c:v>7.7914347835407431</c:v>
                </c:pt>
                <c:pt idx="147">
                  <c:v>7.8235527103466378</c:v>
                </c:pt>
                <c:pt idx="148">
                  <c:v>7.9506215267227258</c:v>
                </c:pt>
                <c:pt idx="149">
                  <c:v>7.8673011952799099</c:v>
                </c:pt>
                <c:pt idx="150">
                  <c:v>9.9670740931853654</c:v>
                </c:pt>
                <c:pt idx="151">
                  <c:v>8.3336108472652697</c:v>
                </c:pt>
                <c:pt idx="152">
                  <c:v>8.2524523013937063</c:v>
                </c:pt>
                <c:pt idx="153">
                  <c:v>8.0597254598761996</c:v>
                </c:pt>
                <c:pt idx="154">
                  <c:v>7.9984714420061893</c:v>
                </c:pt>
                <c:pt idx="155">
                  <c:v>9.4517357989065918</c:v>
                </c:pt>
              </c:numCache>
            </c:numRef>
          </c:xVal>
          <c:yVal>
            <c:numRef>
              <c:f>'Regr-SalesTO'!$D$115:$D$270</c:f>
              <c:numCache>
                <c:formatCode>0.000</c:formatCode>
                <c:ptCount val="156"/>
                <c:pt idx="0">
                  <c:v>9.3396127076803221</c:v>
                </c:pt>
                <c:pt idx="1">
                  <c:v>9.0431044526002697</c:v>
                </c:pt>
                <c:pt idx="2">
                  <c:v>8.7827830173932018</c:v>
                </c:pt>
                <c:pt idx="3">
                  <c:v>9.146761390333312</c:v>
                </c:pt>
                <c:pt idx="4">
                  <c:v>9.1351856983754232</c:v>
                </c:pt>
                <c:pt idx="5">
                  <c:v>8.7747768160439854</c:v>
                </c:pt>
                <c:pt idx="6">
                  <c:v>8.913011922472597</c:v>
                </c:pt>
                <c:pt idx="7">
                  <c:v>9.1178960815849024</c:v>
                </c:pt>
                <c:pt idx="8">
                  <c:v>9.3772098242112154</c:v>
                </c:pt>
                <c:pt idx="9">
                  <c:v>8.9266503207939394</c:v>
                </c:pt>
                <c:pt idx="10">
                  <c:v>8.2498364854257016</c:v>
                </c:pt>
                <c:pt idx="11">
                  <c:v>10.250192965437369</c:v>
                </c:pt>
                <c:pt idx="12">
                  <c:v>9.074062353683555</c:v>
                </c:pt>
                <c:pt idx="13">
                  <c:v>8.8983656069553572</c:v>
                </c:pt>
                <c:pt idx="14">
                  <c:v>8.7171909332231348</c:v>
                </c:pt>
                <c:pt idx="15">
                  <c:v>9.1546162232038206</c:v>
                </c:pt>
                <c:pt idx="16">
                  <c:v>8.8968617444803915</c:v>
                </c:pt>
                <c:pt idx="17">
                  <c:v>10.27900878427122</c:v>
                </c:pt>
                <c:pt idx="18">
                  <c:v>8.6993480676530925</c:v>
                </c:pt>
                <c:pt idx="19">
                  <c:v>8.6714581504276662</c:v>
                </c:pt>
                <c:pt idx="20">
                  <c:v>8.92052268739398</c:v>
                </c:pt>
                <c:pt idx="21">
                  <c:v>8.621733370690162</c:v>
                </c:pt>
                <c:pt idx="22">
                  <c:v>8.3645081037505893</c:v>
                </c:pt>
                <c:pt idx="23">
                  <c:v>8.8661584922849173</c:v>
                </c:pt>
                <c:pt idx="24">
                  <c:v>9.4763135012657482</c:v>
                </c:pt>
                <c:pt idx="25">
                  <c:v>8.742733867330168</c:v>
                </c:pt>
                <c:pt idx="26">
                  <c:v>8.765146421639022</c:v>
                </c:pt>
                <c:pt idx="27">
                  <c:v>8.8787760717075521</c:v>
                </c:pt>
                <c:pt idx="28">
                  <c:v>9.0254555327790627</c:v>
                </c:pt>
                <c:pt idx="29">
                  <c:v>8.9888205017780702</c:v>
                </c:pt>
                <c:pt idx="30">
                  <c:v>8.8249719655671406</c:v>
                </c:pt>
                <c:pt idx="31">
                  <c:v>8.8434707816273814</c:v>
                </c:pt>
                <c:pt idx="32">
                  <c:v>9.0167556229035171</c:v>
                </c:pt>
                <c:pt idx="33">
                  <c:v>8.7409765380177866</c:v>
                </c:pt>
                <c:pt idx="34">
                  <c:v>8.8879288190033048</c:v>
                </c:pt>
                <c:pt idx="35">
                  <c:v>8.9298325032724026</c:v>
                </c:pt>
                <c:pt idx="36">
                  <c:v>8.8443363327489326</c:v>
                </c:pt>
                <c:pt idx="37">
                  <c:v>8.7122664321353547</c:v>
                </c:pt>
                <c:pt idx="38">
                  <c:v>8.7356859445150192</c:v>
                </c:pt>
                <c:pt idx="39">
                  <c:v>8.7031747090416793</c:v>
                </c:pt>
                <c:pt idx="40">
                  <c:v>8.9874467894171808</c:v>
                </c:pt>
                <c:pt idx="41">
                  <c:v>9.6306284089759853</c:v>
                </c:pt>
                <c:pt idx="42">
                  <c:v>8.8208470333777171</c:v>
                </c:pt>
                <c:pt idx="43">
                  <c:v>8.742733867330168</c:v>
                </c:pt>
                <c:pt idx="44">
                  <c:v>8.5515946181335707</c:v>
                </c:pt>
                <c:pt idx="45">
                  <c:v>10.131817630537638</c:v>
                </c:pt>
                <c:pt idx="46">
                  <c:v>8.8318579351979061</c:v>
                </c:pt>
                <c:pt idx="47">
                  <c:v>9.0556728919640435</c:v>
                </c:pt>
                <c:pt idx="48">
                  <c:v>8.9356403337475712</c:v>
                </c:pt>
                <c:pt idx="49">
                  <c:v>9.5315539276367556</c:v>
                </c:pt>
                <c:pt idx="50">
                  <c:v>8.8255598550608507</c:v>
                </c:pt>
                <c:pt idx="51">
                  <c:v>8.8296654326752364</c:v>
                </c:pt>
                <c:pt idx="52">
                  <c:v>8.8388418134312907</c:v>
                </c:pt>
                <c:pt idx="53">
                  <c:v>8.784468454090355</c:v>
                </c:pt>
                <c:pt idx="54">
                  <c:v>8.7093000489449892</c:v>
                </c:pt>
                <c:pt idx="55">
                  <c:v>8.793156870913819</c:v>
                </c:pt>
                <c:pt idx="56">
                  <c:v>8.7704390865468902</c:v>
                </c:pt>
                <c:pt idx="57">
                  <c:v>8.546169299652755</c:v>
                </c:pt>
                <c:pt idx="58">
                  <c:v>8.4186979446671391</c:v>
                </c:pt>
                <c:pt idx="59">
                  <c:v>8.4497705150988036</c:v>
                </c:pt>
                <c:pt idx="60">
                  <c:v>8.6855848426766933</c:v>
                </c:pt>
                <c:pt idx="61">
                  <c:v>8.5883969504225703</c:v>
                </c:pt>
                <c:pt idx="62">
                  <c:v>8.4821875822174224</c:v>
                </c:pt>
                <c:pt idx="63">
                  <c:v>7.9728107841214042</c:v>
                </c:pt>
                <c:pt idx="64">
                  <c:v>8.0965129175015935</c:v>
                </c:pt>
                <c:pt idx="65">
                  <c:v>8.1653636324739818</c:v>
                </c:pt>
                <c:pt idx="66">
                  <c:v>8.2065836143207527</c:v>
                </c:pt>
                <c:pt idx="67">
                  <c:v>8.1780774638496077</c:v>
                </c:pt>
                <c:pt idx="68">
                  <c:v>8.3686931830977933</c:v>
                </c:pt>
                <c:pt idx="69">
                  <c:v>8.1137260859707467</c:v>
                </c:pt>
                <c:pt idx="70">
                  <c:v>8.2824830037305617</c:v>
                </c:pt>
                <c:pt idx="71">
                  <c:v>8.7795574558837277</c:v>
                </c:pt>
                <c:pt idx="72">
                  <c:v>8.8956296271364828</c:v>
                </c:pt>
                <c:pt idx="73">
                  <c:v>8.9931788923395199</c:v>
                </c:pt>
                <c:pt idx="74">
                  <c:v>10.057538227363054</c:v>
                </c:pt>
                <c:pt idx="75">
                  <c:v>8.3900414057557544</c:v>
                </c:pt>
                <c:pt idx="76">
                  <c:v>8.2087640458196667</c:v>
                </c:pt>
                <c:pt idx="77">
                  <c:v>8.2246995619672347</c:v>
                </c:pt>
                <c:pt idx="78">
                  <c:v>9.6545773745848855</c:v>
                </c:pt>
                <c:pt idx="79">
                  <c:v>8.4957652440026177</c:v>
                </c:pt>
                <c:pt idx="80">
                  <c:v>8.2955485162257627</c:v>
                </c:pt>
                <c:pt idx="81">
                  <c:v>9.588365764325566</c:v>
                </c:pt>
                <c:pt idx="82">
                  <c:v>8.2198647419126516</c:v>
                </c:pt>
                <c:pt idx="83">
                  <c:v>8.2824830037305617</c:v>
                </c:pt>
                <c:pt idx="84">
                  <c:v>8.2432825230483751</c:v>
                </c:pt>
                <c:pt idx="85">
                  <c:v>8.1928471345928653</c:v>
                </c:pt>
                <c:pt idx="86">
                  <c:v>9.5298844175767083</c:v>
                </c:pt>
                <c:pt idx="87">
                  <c:v>8.1847926541650775</c:v>
                </c:pt>
                <c:pt idx="88">
                  <c:v>8.210396255104774</c:v>
                </c:pt>
                <c:pt idx="89">
                  <c:v>8.1104272375750242</c:v>
                </c:pt>
                <c:pt idx="90">
                  <c:v>9.7268100381272582</c:v>
                </c:pt>
                <c:pt idx="91">
                  <c:v>8.473241303887054</c:v>
                </c:pt>
                <c:pt idx="92">
                  <c:v>8.3282094917487317</c:v>
                </c:pt>
                <c:pt idx="93">
                  <c:v>8.2940496401020276</c:v>
                </c:pt>
                <c:pt idx="94">
                  <c:v>8.3827470948633138</c:v>
                </c:pt>
                <c:pt idx="95">
                  <c:v>8.4719865985781588</c:v>
                </c:pt>
                <c:pt idx="96">
                  <c:v>8.464003362902119</c:v>
                </c:pt>
                <c:pt idx="97">
                  <c:v>8.6990146231685106</c:v>
                </c:pt>
                <c:pt idx="98">
                  <c:v>8.5131851700186978</c:v>
                </c:pt>
                <c:pt idx="99">
                  <c:v>9.9007337643395061</c:v>
                </c:pt>
                <c:pt idx="100">
                  <c:v>8.6628507638386001</c:v>
                </c:pt>
                <c:pt idx="101">
                  <c:v>8.2912958519054065</c:v>
                </c:pt>
                <c:pt idx="102">
                  <c:v>9.5153219415060253</c:v>
                </c:pt>
                <c:pt idx="103">
                  <c:v>8.7727652099497853</c:v>
                </c:pt>
                <c:pt idx="104">
                  <c:v>9.547241088215463</c:v>
                </c:pt>
                <c:pt idx="105">
                  <c:v>8.8140332016527836</c:v>
                </c:pt>
                <c:pt idx="106">
                  <c:v>8.6628507638386001</c:v>
                </c:pt>
                <c:pt idx="107">
                  <c:v>8.9903169479982168</c:v>
                </c:pt>
                <c:pt idx="108">
                  <c:v>8.7618633732747266</c:v>
                </c:pt>
                <c:pt idx="109">
                  <c:v>9.4863040514737644</c:v>
                </c:pt>
                <c:pt idx="110">
                  <c:v>8.562931083090092</c:v>
                </c:pt>
                <c:pt idx="111">
                  <c:v>8.3143423433697894</c:v>
                </c:pt>
                <c:pt idx="112">
                  <c:v>8.2912958519054065</c:v>
                </c:pt>
                <c:pt idx="113">
                  <c:v>8.2128395846764839</c:v>
                </c:pt>
                <c:pt idx="114">
                  <c:v>8.0824022539262437</c:v>
                </c:pt>
                <c:pt idx="115">
                  <c:v>9.4441468714586456</c:v>
                </c:pt>
                <c:pt idx="116">
                  <c:v>8.2128395846764839</c:v>
                </c:pt>
                <c:pt idx="117">
                  <c:v>8.0100275284817339</c:v>
                </c:pt>
                <c:pt idx="118">
                  <c:v>7.8961806086154915</c:v>
                </c:pt>
                <c:pt idx="119">
                  <c:v>8.0080328469693072</c:v>
                </c:pt>
                <c:pt idx="120">
                  <c:v>8.1330002185836126</c:v>
                </c:pt>
                <c:pt idx="121">
                  <c:v>7.8872085858139318</c:v>
                </c:pt>
                <c:pt idx="122">
                  <c:v>8.5529463611220553</c:v>
                </c:pt>
                <c:pt idx="123">
                  <c:v>10.216106110277941</c:v>
                </c:pt>
                <c:pt idx="124">
                  <c:v>8.5998785580348454</c:v>
                </c:pt>
                <c:pt idx="125">
                  <c:v>8.153061946801051</c:v>
                </c:pt>
                <c:pt idx="126">
                  <c:v>7.8292325375435921</c:v>
                </c:pt>
                <c:pt idx="127">
                  <c:v>7.9885429827376946</c:v>
                </c:pt>
                <c:pt idx="128">
                  <c:v>7.8853292392731911</c:v>
                </c:pt>
                <c:pt idx="129">
                  <c:v>8.9177127571313868</c:v>
                </c:pt>
                <c:pt idx="130">
                  <c:v>7.6534949096612532</c:v>
                </c:pt>
                <c:pt idx="131">
                  <c:v>10.076347825540569</c:v>
                </c:pt>
                <c:pt idx="132">
                  <c:v>8.0060341787490099</c:v>
                </c:pt>
                <c:pt idx="133">
                  <c:v>7.6515955738576009</c:v>
                </c:pt>
                <c:pt idx="134">
                  <c:v>7.693937325509272</c:v>
                </c:pt>
                <c:pt idx="135">
                  <c:v>7.7084106672573673</c:v>
                </c:pt>
                <c:pt idx="136">
                  <c:v>7.5432733467054458</c:v>
                </c:pt>
                <c:pt idx="137">
                  <c:v>7.6434829070772006</c:v>
                </c:pt>
                <c:pt idx="138">
                  <c:v>9.8903516531429876</c:v>
                </c:pt>
                <c:pt idx="139">
                  <c:v>8.118802996980035</c:v>
                </c:pt>
                <c:pt idx="140">
                  <c:v>9.4721660298827359</c:v>
                </c:pt>
                <c:pt idx="141">
                  <c:v>7.7393592026890978</c:v>
                </c:pt>
                <c:pt idx="142">
                  <c:v>7.8605707855386644</c:v>
                </c:pt>
                <c:pt idx="143">
                  <c:v>7.6539691804787742</c:v>
                </c:pt>
                <c:pt idx="144">
                  <c:v>7.7182409519593156</c:v>
                </c:pt>
                <c:pt idx="145">
                  <c:v>8.3277261664614119</c:v>
                </c:pt>
                <c:pt idx="146">
                  <c:v>7.917536353943631</c:v>
                </c:pt>
                <c:pt idx="147">
                  <c:v>7.6866213349446202</c:v>
                </c:pt>
                <c:pt idx="148">
                  <c:v>7.917536353943631</c:v>
                </c:pt>
                <c:pt idx="149">
                  <c:v>7.5893358231706172</c:v>
                </c:pt>
                <c:pt idx="150">
                  <c:v>9.6196646904100671</c:v>
                </c:pt>
                <c:pt idx="151">
                  <c:v>8.1050055375472461</c:v>
                </c:pt>
                <c:pt idx="152">
                  <c:v>8.0394799191004491</c:v>
                </c:pt>
                <c:pt idx="153">
                  <c:v>7.5973963202127948</c:v>
                </c:pt>
                <c:pt idx="154">
                  <c:v>7.950854857719988</c:v>
                </c:pt>
                <c:pt idx="155">
                  <c:v>9.2846126163507705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7-3945-8EFB-7651C690BFE5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9.1689488795138381</c:v>
              </c:pt>
            </c:numLit>
          </c:xVal>
          <c:yVal>
            <c:numLit>
              <c:formatCode>General</c:formatCode>
              <c:ptCount val="1"/>
              <c:pt idx="0">
                <c:v>9.0431044526002697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F47-3945-8EFB-7651C690BFE5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XLSTAT_20211101_192941_1_HID!xdata1</c:f>
              <c:numCache>
                <c:formatCode>General</c:formatCode>
                <c:ptCount val="70"/>
                <c:pt idx="0">
                  <c:v>7.6673981552050803</c:v>
                </c:pt>
                <c:pt idx="1">
                  <c:v>7.7341498573860905</c:v>
                </c:pt>
                <c:pt idx="2">
                  <c:v>7.8009015595670999</c:v>
                </c:pt>
                <c:pt idx="3">
                  <c:v>7.8676532617481101</c:v>
                </c:pt>
                <c:pt idx="4">
                  <c:v>7.9344049639291203</c:v>
                </c:pt>
                <c:pt idx="5">
                  <c:v>8.0011566661101305</c:v>
                </c:pt>
                <c:pt idx="6">
                  <c:v>8.067908368291139</c:v>
                </c:pt>
                <c:pt idx="7">
                  <c:v>8.1346600704721492</c:v>
                </c:pt>
                <c:pt idx="8">
                  <c:v>8.2014117726531595</c:v>
                </c:pt>
                <c:pt idx="9">
                  <c:v>8.2681634748341697</c:v>
                </c:pt>
                <c:pt idx="10">
                  <c:v>8.3349151770151799</c:v>
                </c:pt>
                <c:pt idx="11">
                  <c:v>8.4016668791961884</c:v>
                </c:pt>
                <c:pt idx="12">
                  <c:v>8.4684185813771986</c:v>
                </c:pt>
                <c:pt idx="13">
                  <c:v>8.5351702835582088</c:v>
                </c:pt>
                <c:pt idx="14">
                  <c:v>8.6019219857392191</c:v>
                </c:pt>
                <c:pt idx="15">
                  <c:v>8.6686736879202293</c:v>
                </c:pt>
                <c:pt idx="16">
                  <c:v>8.7354253901012378</c:v>
                </c:pt>
                <c:pt idx="17">
                  <c:v>8.802177092282248</c:v>
                </c:pt>
                <c:pt idx="18">
                  <c:v>8.8689287944632582</c:v>
                </c:pt>
                <c:pt idx="19">
                  <c:v>8.9356804966442684</c:v>
                </c:pt>
                <c:pt idx="20">
                  <c:v>9.0024321988252787</c:v>
                </c:pt>
                <c:pt idx="21">
                  <c:v>9.0691839010062871</c:v>
                </c:pt>
                <c:pt idx="22">
                  <c:v>9.1359356031872974</c:v>
                </c:pt>
                <c:pt idx="23">
                  <c:v>9.2026873053683076</c:v>
                </c:pt>
                <c:pt idx="24">
                  <c:v>9.2694390075493178</c:v>
                </c:pt>
                <c:pt idx="25">
                  <c:v>9.3361907097303281</c:v>
                </c:pt>
                <c:pt idx="26">
                  <c:v>9.4029424119113383</c:v>
                </c:pt>
                <c:pt idx="27">
                  <c:v>9.4696941140923485</c:v>
                </c:pt>
                <c:pt idx="28">
                  <c:v>9.536445816273357</c:v>
                </c:pt>
                <c:pt idx="29">
                  <c:v>9.6031975184543672</c:v>
                </c:pt>
                <c:pt idx="30">
                  <c:v>9.6699492206353774</c:v>
                </c:pt>
                <c:pt idx="31">
                  <c:v>9.7367009228163877</c:v>
                </c:pt>
                <c:pt idx="32">
                  <c:v>9.8034526249973979</c:v>
                </c:pt>
                <c:pt idx="33">
                  <c:v>9.8702043271784063</c:v>
                </c:pt>
                <c:pt idx="34">
                  <c:v>9.9369560293594166</c:v>
                </c:pt>
                <c:pt idx="35">
                  <c:v>10.003707731540427</c:v>
                </c:pt>
                <c:pt idx="36">
                  <c:v>10.070459433721437</c:v>
                </c:pt>
                <c:pt idx="37">
                  <c:v>10.137211135902447</c:v>
                </c:pt>
                <c:pt idx="38">
                  <c:v>10.203962838083456</c:v>
                </c:pt>
                <c:pt idx="39">
                  <c:v>10.270714540264466</c:v>
                </c:pt>
                <c:pt idx="40">
                  <c:v>10.337466242445476</c:v>
                </c:pt>
                <c:pt idx="41">
                  <c:v>10.404217944626486</c:v>
                </c:pt>
                <c:pt idx="42">
                  <c:v>10.470969646807497</c:v>
                </c:pt>
                <c:pt idx="43">
                  <c:v>10.537721348988505</c:v>
                </c:pt>
                <c:pt idx="44">
                  <c:v>10.604473051169515</c:v>
                </c:pt>
                <c:pt idx="45">
                  <c:v>10.671224753350526</c:v>
                </c:pt>
                <c:pt idx="46">
                  <c:v>10.737976455531536</c:v>
                </c:pt>
                <c:pt idx="47">
                  <c:v>10.804728157712546</c:v>
                </c:pt>
                <c:pt idx="48">
                  <c:v>10.871479859893554</c:v>
                </c:pt>
                <c:pt idx="49">
                  <c:v>10.938231562074565</c:v>
                </c:pt>
                <c:pt idx="50">
                  <c:v>11.004983264255575</c:v>
                </c:pt>
                <c:pt idx="51">
                  <c:v>11.071734966436585</c:v>
                </c:pt>
                <c:pt idx="52">
                  <c:v>11.138486668617595</c:v>
                </c:pt>
                <c:pt idx="53">
                  <c:v>11.205238370798604</c:v>
                </c:pt>
                <c:pt idx="54">
                  <c:v>11.271990072979616</c:v>
                </c:pt>
                <c:pt idx="55">
                  <c:v>11.338741775160624</c:v>
                </c:pt>
                <c:pt idx="56">
                  <c:v>11.405493477341635</c:v>
                </c:pt>
                <c:pt idx="57">
                  <c:v>11.472245179522645</c:v>
                </c:pt>
                <c:pt idx="58">
                  <c:v>11.538996881703653</c:v>
                </c:pt>
                <c:pt idx="59">
                  <c:v>11.605748583884665</c:v>
                </c:pt>
                <c:pt idx="60">
                  <c:v>11.672500286065674</c:v>
                </c:pt>
                <c:pt idx="61">
                  <c:v>11.739251988246684</c:v>
                </c:pt>
                <c:pt idx="62">
                  <c:v>11.806003690427694</c:v>
                </c:pt>
                <c:pt idx="63">
                  <c:v>11.872755392608703</c:v>
                </c:pt>
                <c:pt idx="64">
                  <c:v>11.939507094789715</c:v>
                </c:pt>
                <c:pt idx="65">
                  <c:v>12.006258796970723</c:v>
                </c:pt>
                <c:pt idx="66">
                  <c:v>12.073010499151733</c:v>
                </c:pt>
                <c:pt idx="67">
                  <c:v>12.139762201332744</c:v>
                </c:pt>
                <c:pt idx="68">
                  <c:v>12.206513903513752</c:v>
                </c:pt>
                <c:pt idx="69">
                  <c:v>12.273265605694764</c:v>
                </c:pt>
              </c:numCache>
            </c:numRef>
          </c:xVal>
          <c:yVal>
            <c:numRef>
              <c:f>XLSTAT_20211101_192941_1_HID!ydata1</c:f>
              <c:numCache>
                <c:formatCode>General</c:formatCode>
                <c:ptCount val="70"/>
                <c:pt idx="0">
                  <c:v>7.1877946064568432</c:v>
                </c:pt>
                <c:pt idx="1">
                  <c:v>7.2551413033083767</c:v>
                </c:pt>
                <c:pt idx="2">
                  <c:v>7.3224466074398382</c:v>
                </c:pt>
                <c:pt idx="3">
                  <c:v>7.3897103750154605</c:v>
                </c:pt>
                <c:pt idx="4">
                  <c:v>7.4569324723975816</c:v>
                </c:pt>
                <c:pt idx="5">
                  <c:v>7.5241127763179119</c:v>
                </c:pt>
                <c:pt idx="6">
                  <c:v>7.5912511740366044</c:v>
                </c:pt>
                <c:pt idx="7">
                  <c:v>7.658347563488678</c:v>
                </c:pt>
                <c:pt idx="8">
                  <c:v>7.7254018534173188</c:v>
                </c:pt>
                <c:pt idx="9">
                  <c:v>7.7924139634936918</c:v>
                </c:pt>
                <c:pt idx="10">
                  <c:v>7.8593838244228884</c:v>
                </c:pt>
                <c:pt idx="11">
                  <c:v>7.926311378035674</c:v>
                </c:pt>
                <c:pt idx="12">
                  <c:v>7.9931965773657758</c:v>
                </c:pt>
                <c:pt idx="13">
                  <c:v>8.0600393867124449</c:v>
                </c:pt>
                <c:pt idx="14">
                  <c:v>8.1268397816881244</c:v>
                </c:pt>
                <c:pt idx="15">
                  <c:v>8.1935977492510599</c:v>
                </c:pt>
                <c:pt idx="16">
                  <c:v>8.2603132877227594</c:v>
                </c:pt>
                <c:pt idx="17">
                  <c:v>8.3269864067902439</c:v>
                </c:pt>
                <c:pt idx="18">
                  <c:v>8.3936171274930658</c:v>
                </c:pt>
                <c:pt idx="19">
                  <c:v>8.4602054821951747</c:v>
                </c:pt>
                <c:pt idx="20">
                  <c:v>8.5267515145416866</c:v>
                </c:pt>
                <c:pt idx="21">
                  <c:v>8.5932552794006885</c:v>
                </c:pt>
                <c:pt idx="22">
                  <c:v>8.6597168427902886</c:v>
                </c:pt>
                <c:pt idx="23">
                  <c:v>8.7261362817911028</c:v>
                </c:pt>
                <c:pt idx="24">
                  <c:v>8.7925136844444758</c:v>
                </c:pt>
                <c:pt idx="25">
                  <c:v>8.8588491496367254</c:v>
                </c:pt>
                <c:pt idx="26">
                  <c:v>8.9251427869697846</c:v>
                </c:pt>
                <c:pt idx="27">
                  <c:v>8.9913947166186077</c:v>
                </c:pt>
                <c:pt idx="28">
                  <c:v>9.057605069175791</c:v>
                </c:pt>
                <c:pt idx="29">
                  <c:v>9.1237739854838562</c:v>
                </c:pt>
                <c:pt idx="30">
                  <c:v>9.1899016164556908</c:v>
                </c:pt>
                <c:pt idx="31">
                  <c:v>9.2559881228836751</c:v>
                </c:pt>
                <c:pt idx="32">
                  <c:v>9.3220336752380479</c:v>
                </c:pt>
                <c:pt idx="33">
                  <c:v>9.3880384534550529</c:v>
                </c:pt>
                <c:pt idx="34">
                  <c:v>9.4540026467155318</c:v>
                </c:pt>
                <c:pt idx="35">
                  <c:v>9.5199264532144703</c:v>
                </c:pt>
                <c:pt idx="36">
                  <c:v>9.5858100799222381</c:v>
                </c:pt>
                <c:pt idx="37">
                  <c:v>9.6516537423380768</c:v>
                </c:pt>
                <c:pt idx="38">
                  <c:v>9.7174576642365302</c:v>
                </c:pt>
                <c:pt idx="39">
                  <c:v>9.7832220774074603</c:v>
                </c:pt>
                <c:pt idx="40">
                  <c:v>9.8489472213902971</c:v>
                </c:pt>
                <c:pt idx="41">
                  <c:v>9.9146333432032083</c:v>
                </c:pt>
                <c:pt idx="42">
                  <c:v>9.9802806970678191</c:v>
                </c:pt>
                <c:pt idx="43">
                  <c:v>10.045889544130151</c:v>
                </c:pt>
                <c:pt idx="44">
                  <c:v>10.111460152178442</c:v>
                </c:pt>
                <c:pt idx="45">
                  <c:v>10.176992795358432</c:v>
                </c:pt>
                <c:pt idx="46">
                  <c:v>10.242487753886813</c:v>
                </c:pt>
                <c:pt idx="47">
                  <c:v>10.307945313763394</c:v>
                </c:pt>
                <c:pt idx="48">
                  <c:v>10.373365766482618</c:v>
                </c:pt>
                <c:pt idx="49">
                  <c:v>10.438749408744988</c:v>
                </c:pt>
                <c:pt idx="50">
                  <c:v>10.504096542168972</c:v>
                </c:pt>
                <c:pt idx="51">
                  <c:v>10.569407473003933</c:v>
                </c:pt>
                <c:pt idx="52">
                  <c:v>10.634682511844588</c:v>
                </c:pt>
                <c:pt idx="53">
                  <c:v>10.699921973347514</c:v>
                </c:pt>
                <c:pt idx="54">
                  <c:v>10.765126175950153</c:v>
                </c:pt>
                <c:pt idx="55">
                  <c:v>10.830295441592764</c:v>
                </c:pt>
                <c:pt idx="56">
                  <c:v>10.895430095443791</c:v>
                </c:pt>
                <c:pt idx="57">
                  <c:v>10.960530465628967</c:v>
                </c:pt>
                <c:pt idx="58">
                  <c:v>11.025596882964589</c:v>
                </c:pt>
                <c:pt idx="59">
                  <c:v>11.090629680695301</c:v>
                </c:pt>
                <c:pt idx="60">
                  <c:v>11.155629194236662</c:v>
                </c:pt>
                <c:pt idx="61">
                  <c:v>11.220595760922867</c:v>
                </c:pt>
                <c:pt idx="62">
                  <c:v>11.285529719759811</c:v>
                </c:pt>
                <c:pt idx="63">
                  <c:v>11.350431411183791</c:v>
                </c:pt>
                <c:pt idx="64">
                  <c:v>11.41530117682607</c:v>
                </c:pt>
                <c:pt idx="65">
                  <c:v>11.48013935928342</c:v>
                </c:pt>
                <c:pt idx="66">
                  <c:v>11.544946301894944</c:v>
                </c:pt>
                <c:pt idx="67">
                  <c:v>11.609722348525173</c:v>
                </c:pt>
                <c:pt idx="68">
                  <c:v>11.674467843353689</c:v>
                </c:pt>
                <c:pt idx="69">
                  <c:v>11.739183130671313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47-3945-8EFB-7651C690BFE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XLSTAT_20211101_192941_1_HID!xdata2</c:f>
              <c:numCache>
                <c:formatCode>General</c:formatCode>
                <c:ptCount val="70"/>
                <c:pt idx="0">
                  <c:v>6.2126976990217297</c:v>
                </c:pt>
                <c:pt idx="1">
                  <c:v>6.3005320165097451</c:v>
                </c:pt>
                <c:pt idx="2">
                  <c:v>6.3883663339977597</c:v>
                </c:pt>
                <c:pt idx="3">
                  <c:v>6.4762006514857751</c:v>
                </c:pt>
                <c:pt idx="4">
                  <c:v>6.5640349689737905</c:v>
                </c:pt>
                <c:pt idx="5">
                  <c:v>6.651869286461805</c:v>
                </c:pt>
                <c:pt idx="6">
                  <c:v>6.7397036039498204</c:v>
                </c:pt>
                <c:pt idx="7">
                  <c:v>6.8275379214378358</c:v>
                </c:pt>
                <c:pt idx="8">
                  <c:v>6.9153722389258503</c:v>
                </c:pt>
                <c:pt idx="9">
                  <c:v>7.0032065564138657</c:v>
                </c:pt>
                <c:pt idx="10">
                  <c:v>7.0910408739018802</c:v>
                </c:pt>
                <c:pt idx="11">
                  <c:v>7.1788751913898956</c:v>
                </c:pt>
                <c:pt idx="12">
                  <c:v>7.266709508877911</c:v>
                </c:pt>
                <c:pt idx="13">
                  <c:v>7.3545438263659264</c:v>
                </c:pt>
                <c:pt idx="14">
                  <c:v>7.4423781438539409</c:v>
                </c:pt>
                <c:pt idx="15">
                  <c:v>7.5302124613419563</c:v>
                </c:pt>
                <c:pt idx="16">
                  <c:v>7.6180467788299708</c:v>
                </c:pt>
                <c:pt idx="17">
                  <c:v>7.7058810963179862</c:v>
                </c:pt>
                <c:pt idx="18">
                  <c:v>7.7937154138060016</c:v>
                </c:pt>
                <c:pt idx="19">
                  <c:v>7.881549731294017</c:v>
                </c:pt>
                <c:pt idx="20">
                  <c:v>7.9693840487820315</c:v>
                </c:pt>
                <c:pt idx="21">
                  <c:v>8.0572183662700461</c:v>
                </c:pt>
                <c:pt idx="22">
                  <c:v>8.1450526837580615</c:v>
                </c:pt>
                <c:pt idx="23">
                  <c:v>8.2328870012460769</c:v>
                </c:pt>
                <c:pt idx="24">
                  <c:v>8.3207213187340923</c:v>
                </c:pt>
                <c:pt idx="25">
                  <c:v>8.4085556362221077</c:v>
                </c:pt>
                <c:pt idx="26">
                  <c:v>8.4963899537101213</c:v>
                </c:pt>
                <c:pt idx="27">
                  <c:v>8.5842242711981367</c:v>
                </c:pt>
                <c:pt idx="28">
                  <c:v>8.6720585886861521</c:v>
                </c:pt>
                <c:pt idx="29">
                  <c:v>8.7598929061741675</c:v>
                </c:pt>
                <c:pt idx="30">
                  <c:v>8.8477272236621829</c:v>
                </c:pt>
                <c:pt idx="31">
                  <c:v>8.9355615411501983</c:v>
                </c:pt>
                <c:pt idx="32">
                  <c:v>9.0233958586382137</c:v>
                </c:pt>
                <c:pt idx="33">
                  <c:v>9.1112301761262273</c:v>
                </c:pt>
                <c:pt idx="34">
                  <c:v>9.1990644936142427</c:v>
                </c:pt>
                <c:pt idx="35">
                  <c:v>9.2868988111022581</c:v>
                </c:pt>
                <c:pt idx="36">
                  <c:v>9.3747331285902735</c:v>
                </c:pt>
                <c:pt idx="37">
                  <c:v>9.4625674460782889</c:v>
                </c:pt>
                <c:pt idx="38">
                  <c:v>9.5504017635663025</c:v>
                </c:pt>
                <c:pt idx="39">
                  <c:v>9.6382360810543179</c:v>
                </c:pt>
                <c:pt idx="40">
                  <c:v>9.7260703985423334</c:v>
                </c:pt>
                <c:pt idx="41">
                  <c:v>9.8139047160303488</c:v>
                </c:pt>
                <c:pt idx="42">
                  <c:v>9.9017390335183642</c:v>
                </c:pt>
                <c:pt idx="43">
                  <c:v>9.9895733510063778</c:v>
                </c:pt>
                <c:pt idx="44">
                  <c:v>10.077407668494395</c:v>
                </c:pt>
                <c:pt idx="45">
                  <c:v>10.165241985982409</c:v>
                </c:pt>
                <c:pt idx="46">
                  <c:v>10.253076303470424</c:v>
                </c:pt>
                <c:pt idx="47">
                  <c:v>10.340910620958439</c:v>
                </c:pt>
                <c:pt idx="48">
                  <c:v>10.428744938446455</c:v>
                </c:pt>
                <c:pt idx="49">
                  <c:v>10.51657925593447</c:v>
                </c:pt>
                <c:pt idx="50">
                  <c:v>10.604413573422484</c:v>
                </c:pt>
                <c:pt idx="51">
                  <c:v>10.692247890910499</c:v>
                </c:pt>
                <c:pt idx="52">
                  <c:v>10.780082208398515</c:v>
                </c:pt>
                <c:pt idx="53">
                  <c:v>10.86791652588653</c:v>
                </c:pt>
                <c:pt idx="54">
                  <c:v>10.955750843374545</c:v>
                </c:pt>
                <c:pt idx="55">
                  <c:v>11.043585160862559</c:v>
                </c:pt>
                <c:pt idx="56">
                  <c:v>11.131419478350576</c:v>
                </c:pt>
                <c:pt idx="57">
                  <c:v>11.21925379583859</c:v>
                </c:pt>
                <c:pt idx="58">
                  <c:v>11.307088113326605</c:v>
                </c:pt>
                <c:pt idx="59">
                  <c:v>11.394922430814621</c:v>
                </c:pt>
                <c:pt idx="60">
                  <c:v>11.482756748302634</c:v>
                </c:pt>
                <c:pt idx="61">
                  <c:v>11.570591065790651</c:v>
                </c:pt>
                <c:pt idx="62">
                  <c:v>11.658425383278665</c:v>
                </c:pt>
                <c:pt idx="63">
                  <c:v>11.74625970076668</c:v>
                </c:pt>
                <c:pt idx="64">
                  <c:v>11.834094018254696</c:v>
                </c:pt>
                <c:pt idx="65">
                  <c:v>11.921928335742711</c:v>
                </c:pt>
                <c:pt idx="66">
                  <c:v>12.009762653230727</c:v>
                </c:pt>
                <c:pt idx="67">
                  <c:v>12.09759697071874</c:v>
                </c:pt>
                <c:pt idx="68">
                  <c:v>12.185431288206757</c:v>
                </c:pt>
                <c:pt idx="69">
                  <c:v>12.273265605694771</c:v>
                </c:pt>
              </c:numCache>
            </c:numRef>
          </c:xVal>
          <c:yVal>
            <c:numRef>
              <c:f>XLSTAT_20211101_192941_1_HID!ydata2</c:f>
              <c:numCache>
                <c:formatCode>General</c:formatCode>
                <c:ptCount val="70"/>
                <c:pt idx="0">
                  <c:v>6.7151537555286289</c:v>
                </c:pt>
                <c:pt idx="1">
                  <c:v>6.8010955818674255</c:v>
                </c:pt>
                <c:pt idx="2">
                  <c:v>6.8871002112914947</c:v>
                </c:pt>
                <c:pt idx="3">
                  <c:v>6.9731683374684899</c:v>
                </c:pt>
                <c:pt idx="4">
                  <c:v>7.0593006397155733</c:v>
                </c:pt>
                <c:pt idx="5">
                  <c:v>7.1454977818642913</c:v>
                </c:pt>
                <c:pt idx="6">
                  <c:v>7.2317604111225888</c:v>
                </c:pt>
                <c:pt idx="7">
                  <c:v>7.3180891569377753</c:v>
                </c:pt>
                <c:pt idx="8">
                  <c:v>7.4044846298644735</c:v>
                </c:pt>
                <c:pt idx="9">
                  <c:v>7.4909474204416782</c:v>
                </c:pt>
                <c:pt idx="10">
                  <c:v>7.5774780980831924</c:v>
                </c:pt>
                <c:pt idx="11">
                  <c:v>7.664077209985825</c:v>
                </c:pt>
                <c:pt idx="12">
                  <c:v>7.7507452800597836</c:v>
                </c:pt>
                <c:pt idx="13">
                  <c:v>7.8374828078857641</c:v>
                </c:pt>
                <c:pt idx="14">
                  <c:v>7.9242902677032241</c:v>
                </c:pt>
                <c:pt idx="15">
                  <c:v>8.0111681074343561</c:v>
                </c:pt>
                <c:pt idx="16">
                  <c:v>8.0981167477481595</c:v>
                </c:pt>
                <c:pt idx="17">
                  <c:v>8.1851365811690044</c:v>
                </c:pt>
                <c:pt idx="18">
                  <c:v>8.2722279712338906</c:v>
                </c:pt>
                <c:pt idx="19">
                  <c:v>8.3593912517025064</c:v>
                </c:pt>
                <c:pt idx="20">
                  <c:v>8.4466267258239487</c:v>
                </c:pt>
                <c:pt idx="21">
                  <c:v>8.5339346656638213</c:v>
                </c:pt>
                <c:pt idx="22">
                  <c:v>8.6213153114950867</c:v>
                </c:pt>
                <c:pt idx="23">
                  <c:v>8.7087688712558311</c:v>
                </c:pt>
                <c:pt idx="24">
                  <c:v>8.7962955200767485</c:v>
                </c:pt>
                <c:pt idx="25">
                  <c:v>8.8838953998808528</c:v>
                </c:pt>
                <c:pt idx="26">
                  <c:v>8.9715686190575035</c:v>
                </c:pt>
                <c:pt idx="27">
                  <c:v>9.0593152522125209</c:v>
                </c:pt>
                <c:pt idx="28">
                  <c:v>9.1471353399956872</c:v>
                </c:pt>
                <c:pt idx="29">
                  <c:v>9.2350288890066139</c:v>
                </c:pt>
                <c:pt idx="30">
                  <c:v>9.3229958717794439</c:v>
                </c:pt>
                <c:pt idx="31">
                  <c:v>9.4110362268464876</c:v>
                </c:pt>
                <c:pt idx="32">
                  <c:v>9.4991498588804433</c:v>
                </c:pt>
                <c:pt idx="33">
                  <c:v>9.5873366389144383</c:v>
                </c:pt>
                <c:pt idx="34">
                  <c:v>9.6755964046387231</c:v>
                </c:pt>
                <c:pt idx="35">
                  <c:v>9.763928960772386</c:v>
                </c:pt>
                <c:pt idx="36">
                  <c:v>9.8523340795081804</c:v>
                </c:pt>
                <c:pt idx="37">
                  <c:v>9.9408115010280547</c:v>
                </c:pt>
                <c:pt idx="38">
                  <c:v>10.029360934086737</c:v>
                </c:pt>
                <c:pt idx="39">
                  <c:v>10.117982056660336</c:v>
                </c:pt>
                <c:pt idx="40">
                  <c:v>10.206674516656651</c:v>
                </c:pt>
                <c:pt idx="41">
                  <c:v>10.295437932683607</c:v>
                </c:pt>
                <c:pt idx="42">
                  <c:v>10.38427189487202</c:v>
                </c:pt>
                <c:pt idx="43">
                  <c:v>10.47317596574867</c:v>
                </c:pt>
                <c:pt idx="44">
                  <c:v>10.5621496811555</c:v>
                </c:pt>
                <c:pt idx="45">
                  <c:v>10.65119255121062</c:v>
                </c:pt>
                <c:pt idx="46">
                  <c:v>10.740304061306754</c:v>
                </c:pt>
                <c:pt idx="47">
                  <c:v>10.829483673142592</c:v>
                </c:pt>
                <c:pt idx="48">
                  <c:v>10.918730825782593</c:v>
                </c:pt>
                <c:pt idx="49">
                  <c:v>11.008044936740717</c:v>
                </c:pt>
                <c:pt idx="50">
                  <c:v>11.097425403083632</c:v>
                </c:pt>
                <c:pt idx="51">
                  <c:v>11.186871602548994</c:v>
                </c:pt>
                <c:pt idx="52">
                  <c:v>11.276382894674457</c:v>
                </c:pt>
                <c:pt idx="53">
                  <c:v>11.365958621933261</c:v>
                </c:pt>
                <c:pt idx="54">
                  <c:v>11.455598110872323</c:v>
                </c:pt>
                <c:pt idx="55">
                  <c:v>11.545300673248901</c:v>
                </c:pt>
                <c:pt idx="56">
                  <c:v>11.63506560716217</c:v>
                </c:pt>
                <c:pt idx="57">
                  <c:v>11.724892198176113</c:v>
                </c:pt>
                <c:pt idx="58">
                  <c:v>11.814779720430467</c:v>
                </c:pt>
                <c:pt idx="59">
                  <c:v>11.904727437736563</c:v>
                </c:pt>
                <c:pt idx="60">
                  <c:v>11.994734604655216</c:v>
                </c:pt>
                <c:pt idx="61">
                  <c:v>12.084800467553988</c:v>
                </c:pt>
                <c:pt idx="62">
                  <c:v>12.174924265641399</c:v>
                </c:pt>
                <c:pt idx="63">
                  <c:v>12.265105231975943</c:v>
                </c:pt>
                <c:pt idx="64">
                  <c:v>12.355342594447869</c:v>
                </c:pt>
                <c:pt idx="65">
                  <c:v>12.445635576732101</c:v>
                </c:pt>
                <c:pt idx="66">
                  <c:v>12.53598339921073</c:v>
                </c:pt>
                <c:pt idx="67">
                  <c:v>12.626385279863813</c:v>
                </c:pt>
                <c:pt idx="68">
                  <c:v>12.716840435127452</c:v>
                </c:pt>
                <c:pt idx="69">
                  <c:v>12.807348080718223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47-3945-8EFB-7651C690BFE5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</c:v>
              </c:pt>
              <c:pt idx="1">
                <c:v>13</c:v>
              </c:pt>
            </c:numLit>
          </c:xVal>
          <c:yVal>
            <c:numLit>
              <c:formatCode>General</c:formatCode>
              <c:ptCount val="2"/>
              <c:pt idx="0">
                <c:v>6</c:v>
              </c:pt>
              <c:pt idx="1">
                <c:v>13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CF47-3945-8EFB-7651C690B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368591"/>
        <c:axId val="1845370351"/>
      </c:scatterChart>
      <c:valAx>
        <c:axId val="1845368591"/>
        <c:scaling>
          <c:orientation val="minMax"/>
          <c:max val="13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Pred(Ln(UVolTO))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5370351"/>
        <c:crosses val="autoZero"/>
        <c:crossBetween val="midCat"/>
      </c:valAx>
      <c:valAx>
        <c:axId val="1845370351"/>
        <c:scaling>
          <c:orientation val="minMax"/>
          <c:max val="13"/>
          <c:min val="6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Ln(UVolTO)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536859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Ln(UVolTO)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'Regr-SalesTO'!$B$115:$B$270</c:f>
              <c:strCache>
                <c:ptCount val="156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</c:strCache>
            </c:strRef>
          </c:cat>
          <c:val>
            <c:numRef>
              <c:f>'Regr-SalesTO'!$G$115:$G$270</c:f>
              <c:numCache>
                <c:formatCode>0.000</c:formatCode>
                <c:ptCount val="156"/>
                <c:pt idx="0">
                  <c:v>0.4313598516004204</c:v>
                </c:pt>
                <c:pt idx="1">
                  <c:v>-0.52511052532102054</c:v>
                </c:pt>
                <c:pt idx="2">
                  <c:v>-0.64457146216130379</c:v>
                </c:pt>
                <c:pt idx="3">
                  <c:v>-0.39530020258534954</c:v>
                </c:pt>
                <c:pt idx="4">
                  <c:v>-0.36838458642791178</c:v>
                </c:pt>
                <c:pt idx="5">
                  <c:v>-1.6017583314401644</c:v>
                </c:pt>
                <c:pt idx="6">
                  <c:v>0.65352620004078588</c:v>
                </c:pt>
                <c:pt idx="7">
                  <c:v>0.32899760436640257</c:v>
                </c:pt>
                <c:pt idx="8">
                  <c:v>0.43513812818687519</c:v>
                </c:pt>
                <c:pt idx="9">
                  <c:v>-0.70600478371070174</c:v>
                </c:pt>
                <c:pt idx="10">
                  <c:v>-1.4892805189776248</c:v>
                </c:pt>
                <c:pt idx="11">
                  <c:v>1.558151488020501</c:v>
                </c:pt>
                <c:pt idx="12">
                  <c:v>1.4828825518664226</c:v>
                </c:pt>
                <c:pt idx="13">
                  <c:v>0.93779303933370117</c:v>
                </c:pt>
                <c:pt idx="14">
                  <c:v>-7.1680982130119961E-2</c:v>
                </c:pt>
                <c:pt idx="15">
                  <c:v>0.61867862756377356</c:v>
                </c:pt>
                <c:pt idx="16">
                  <c:v>0.54883689622828102</c:v>
                </c:pt>
                <c:pt idx="17">
                  <c:v>1.9443589573802158</c:v>
                </c:pt>
                <c:pt idx="18">
                  <c:v>0.11998138350366966</c:v>
                </c:pt>
                <c:pt idx="19">
                  <c:v>-0.32673623012096187</c:v>
                </c:pt>
                <c:pt idx="20">
                  <c:v>1.1024732588763977</c:v>
                </c:pt>
                <c:pt idx="21">
                  <c:v>-0.59253457817069233</c:v>
                </c:pt>
                <c:pt idx="22">
                  <c:v>-1.1311789722188026</c:v>
                </c:pt>
                <c:pt idx="23">
                  <c:v>0.92735647080120764</c:v>
                </c:pt>
                <c:pt idx="24">
                  <c:v>3.2252004048697778</c:v>
                </c:pt>
                <c:pt idx="25">
                  <c:v>0.16588133638825708</c:v>
                </c:pt>
                <c:pt idx="26">
                  <c:v>0.20383328558580849</c:v>
                </c:pt>
                <c:pt idx="27">
                  <c:v>0.44772340310808323</c:v>
                </c:pt>
                <c:pt idx="28">
                  <c:v>0.44837943603818697</c:v>
                </c:pt>
                <c:pt idx="29">
                  <c:v>1.0782949015129497</c:v>
                </c:pt>
                <c:pt idx="30">
                  <c:v>0.31695206954442257</c:v>
                </c:pt>
                <c:pt idx="31">
                  <c:v>-0.26825440998859246</c:v>
                </c:pt>
                <c:pt idx="32">
                  <c:v>0.52390489278225449</c:v>
                </c:pt>
                <c:pt idx="33">
                  <c:v>4.0839391685099438E-2</c:v>
                </c:pt>
                <c:pt idx="34">
                  <c:v>6.1515687078949437E-2</c:v>
                </c:pt>
                <c:pt idx="35">
                  <c:v>0.78509313371874134</c:v>
                </c:pt>
                <c:pt idx="36">
                  <c:v>0.5466326745665202</c:v>
                </c:pt>
                <c:pt idx="37">
                  <c:v>0.46117166826316813</c:v>
                </c:pt>
                <c:pt idx="38">
                  <c:v>-0.40073801044298324</c:v>
                </c:pt>
                <c:pt idx="39">
                  <c:v>-0.91471193876834178</c:v>
                </c:pt>
                <c:pt idx="40">
                  <c:v>6.2712299871507587E-2</c:v>
                </c:pt>
                <c:pt idx="41">
                  <c:v>2.8702267573840254</c:v>
                </c:pt>
                <c:pt idx="42">
                  <c:v>3.8553901992901783E-2</c:v>
                </c:pt>
                <c:pt idx="43">
                  <c:v>-0.55454599153956985</c:v>
                </c:pt>
                <c:pt idx="44">
                  <c:v>-0.63037411354586592</c:v>
                </c:pt>
                <c:pt idx="45">
                  <c:v>-0.40017700809151668</c:v>
                </c:pt>
                <c:pt idx="46">
                  <c:v>-0.29955147364257662</c:v>
                </c:pt>
                <c:pt idx="47">
                  <c:v>1.4361126125698964</c:v>
                </c:pt>
                <c:pt idx="48">
                  <c:v>-0.20492823576598732</c:v>
                </c:pt>
                <c:pt idx="49">
                  <c:v>-1.4346068014890245</c:v>
                </c:pt>
                <c:pt idx="50">
                  <c:v>-0.65721213462322425</c:v>
                </c:pt>
                <c:pt idx="51">
                  <c:v>-0.17660968863570925</c:v>
                </c:pt>
                <c:pt idx="52">
                  <c:v>0.13958214049190079</c:v>
                </c:pt>
                <c:pt idx="53">
                  <c:v>-0.69405066976043017</c:v>
                </c:pt>
                <c:pt idx="54">
                  <c:v>-0.21695524304055736</c:v>
                </c:pt>
                <c:pt idx="55">
                  <c:v>0.54673618616794206</c:v>
                </c:pt>
                <c:pt idx="56">
                  <c:v>-0.75458210742547505</c:v>
                </c:pt>
                <c:pt idx="57">
                  <c:v>-1.8761473713488257</c:v>
                </c:pt>
                <c:pt idx="58">
                  <c:v>1.4888006142365495</c:v>
                </c:pt>
                <c:pt idx="59">
                  <c:v>1.4341493151658478</c:v>
                </c:pt>
                <c:pt idx="60">
                  <c:v>2.1610170111112961</c:v>
                </c:pt>
                <c:pt idx="61">
                  <c:v>1.4953576122885732</c:v>
                </c:pt>
                <c:pt idx="62">
                  <c:v>0.56357750434549447</c:v>
                </c:pt>
                <c:pt idx="63">
                  <c:v>0.86349210138029231</c:v>
                </c:pt>
                <c:pt idx="64">
                  <c:v>-4.5583614908235891E-2</c:v>
                </c:pt>
                <c:pt idx="65">
                  <c:v>0.6445342343537569</c:v>
                </c:pt>
                <c:pt idx="66">
                  <c:v>-0.13050077381528311</c:v>
                </c:pt>
                <c:pt idx="67">
                  <c:v>0.33147833946481126</c:v>
                </c:pt>
                <c:pt idx="68">
                  <c:v>0.2816077382088607</c:v>
                </c:pt>
                <c:pt idx="69">
                  <c:v>0.13165560063889928</c:v>
                </c:pt>
                <c:pt idx="70">
                  <c:v>0.59519563804327147</c:v>
                </c:pt>
                <c:pt idx="71">
                  <c:v>-1.3878418588438972</c:v>
                </c:pt>
                <c:pt idx="72">
                  <c:v>-1.5411870873507068</c:v>
                </c:pt>
                <c:pt idx="73">
                  <c:v>-0.54827954172433646</c:v>
                </c:pt>
                <c:pt idx="74">
                  <c:v>-2.2665506537710621E-2</c:v>
                </c:pt>
                <c:pt idx="75">
                  <c:v>-0.27779604259121221</c:v>
                </c:pt>
                <c:pt idx="76">
                  <c:v>0.92200475443128282</c:v>
                </c:pt>
                <c:pt idx="77">
                  <c:v>0.69449162316097413</c:v>
                </c:pt>
                <c:pt idx="78">
                  <c:v>0.50445272582908784</c:v>
                </c:pt>
                <c:pt idx="79">
                  <c:v>1.1978917095379138</c:v>
                </c:pt>
                <c:pt idx="80">
                  <c:v>0.60182981192890139</c:v>
                </c:pt>
                <c:pt idx="81">
                  <c:v>1.1167966660775051</c:v>
                </c:pt>
                <c:pt idx="82">
                  <c:v>-7.9573092997144282E-2</c:v>
                </c:pt>
                <c:pt idx="83">
                  <c:v>0.43745155522237195</c:v>
                </c:pt>
                <c:pt idx="84">
                  <c:v>0.58874104622860635</c:v>
                </c:pt>
                <c:pt idx="85">
                  <c:v>0.58918144004596662</c:v>
                </c:pt>
                <c:pt idx="86">
                  <c:v>0.18762866323365632</c:v>
                </c:pt>
                <c:pt idx="87">
                  <c:v>-0.44690119837986836</c:v>
                </c:pt>
                <c:pt idx="88">
                  <c:v>0.48745627881638054</c:v>
                </c:pt>
                <c:pt idx="89">
                  <c:v>0.75682778314883659</c:v>
                </c:pt>
                <c:pt idx="90">
                  <c:v>1.1145877825800472</c:v>
                </c:pt>
                <c:pt idx="91">
                  <c:v>1.5568316173160026</c:v>
                </c:pt>
                <c:pt idx="92">
                  <c:v>1.0946071498166023</c:v>
                </c:pt>
                <c:pt idx="93">
                  <c:v>-5.0200273911502155E-2</c:v>
                </c:pt>
                <c:pt idx="94">
                  <c:v>0.32992419169469339</c:v>
                </c:pt>
                <c:pt idx="95">
                  <c:v>-1.0725807249268478</c:v>
                </c:pt>
                <c:pt idx="96">
                  <c:v>-0.77658159541232186</c:v>
                </c:pt>
                <c:pt idx="97">
                  <c:v>-0.69569235794303608</c:v>
                </c:pt>
                <c:pt idx="98">
                  <c:v>-0.41076697616907526</c:v>
                </c:pt>
                <c:pt idx="99">
                  <c:v>0.31988304597967837</c:v>
                </c:pt>
                <c:pt idx="100">
                  <c:v>-2.2178100711966784</c:v>
                </c:pt>
                <c:pt idx="101">
                  <c:v>-1.9449459643113918</c:v>
                </c:pt>
                <c:pt idx="102">
                  <c:v>1.0648554567616868E-2</c:v>
                </c:pt>
                <c:pt idx="103">
                  <c:v>-0.95264768897653285</c:v>
                </c:pt>
                <c:pt idx="104">
                  <c:v>2.1162942302346801</c:v>
                </c:pt>
                <c:pt idx="105">
                  <c:v>-0.5967612488441274</c:v>
                </c:pt>
                <c:pt idx="106">
                  <c:v>-0.66075948550689223</c:v>
                </c:pt>
                <c:pt idx="107">
                  <c:v>0.81848710233242716</c:v>
                </c:pt>
                <c:pt idx="108">
                  <c:v>-0.92167622997932042</c:v>
                </c:pt>
                <c:pt idx="109">
                  <c:v>2.033947267208259</c:v>
                </c:pt>
                <c:pt idx="110">
                  <c:v>1.2469411141756261</c:v>
                </c:pt>
                <c:pt idx="111">
                  <c:v>0.97584933518457495</c:v>
                </c:pt>
                <c:pt idx="112">
                  <c:v>1.018209304120453</c:v>
                </c:pt>
                <c:pt idx="113">
                  <c:v>0.85661911422465409</c:v>
                </c:pt>
                <c:pt idx="114">
                  <c:v>7.6605302992096835E-2</c:v>
                </c:pt>
                <c:pt idx="115">
                  <c:v>0.44840344155076006</c:v>
                </c:pt>
                <c:pt idx="116">
                  <c:v>-1.4758931670994886E-3</c:v>
                </c:pt>
                <c:pt idx="117">
                  <c:v>-0.30010796489039593</c:v>
                </c:pt>
                <c:pt idx="118">
                  <c:v>-0.44037287839053429</c:v>
                </c:pt>
                <c:pt idx="119">
                  <c:v>-0.57729777391739312</c:v>
                </c:pt>
                <c:pt idx="120">
                  <c:v>-0.15987997820694405</c:v>
                </c:pt>
                <c:pt idx="121">
                  <c:v>-1.0348567653809961</c:v>
                </c:pt>
                <c:pt idx="122">
                  <c:v>1.3182580154841965</c:v>
                </c:pt>
                <c:pt idx="123">
                  <c:v>0.84229334096132968</c:v>
                </c:pt>
                <c:pt idx="124">
                  <c:v>-1.1211394956111596</c:v>
                </c:pt>
                <c:pt idx="125">
                  <c:v>0.31900938714464128</c:v>
                </c:pt>
                <c:pt idx="126">
                  <c:v>-0.78437335973875644</c:v>
                </c:pt>
                <c:pt idx="127">
                  <c:v>-0.5029661956766126</c:v>
                </c:pt>
                <c:pt idx="128">
                  <c:v>-0.4969924402514555</c:v>
                </c:pt>
                <c:pt idx="129">
                  <c:v>0.25615909663702446</c:v>
                </c:pt>
                <c:pt idx="130">
                  <c:v>-1.4357217525839641</c:v>
                </c:pt>
                <c:pt idx="131">
                  <c:v>0.39792307416998918</c:v>
                </c:pt>
                <c:pt idx="132">
                  <c:v>-1.5269377871697094</c:v>
                </c:pt>
                <c:pt idx="133">
                  <c:v>-0.83703604260795494</c:v>
                </c:pt>
                <c:pt idx="134">
                  <c:v>-0.75678879342869443</c:v>
                </c:pt>
                <c:pt idx="135">
                  <c:v>-1.1432712633187205</c:v>
                </c:pt>
                <c:pt idx="136">
                  <c:v>-0.96920026595825437</c:v>
                </c:pt>
                <c:pt idx="137">
                  <c:v>-0.77811387392191012</c:v>
                </c:pt>
                <c:pt idx="138">
                  <c:v>-0.15157990672574467</c:v>
                </c:pt>
                <c:pt idx="139">
                  <c:v>-1.4185442959434611</c:v>
                </c:pt>
                <c:pt idx="140">
                  <c:v>2.8487753653072986E-2</c:v>
                </c:pt>
                <c:pt idx="141">
                  <c:v>-1.6253927965067165</c:v>
                </c:pt>
                <c:pt idx="142">
                  <c:v>-1.3448235382955362</c:v>
                </c:pt>
                <c:pt idx="143">
                  <c:v>-1.8837157376385056</c:v>
                </c:pt>
                <c:pt idx="144">
                  <c:v>-1.3985323978268225</c:v>
                </c:pt>
                <c:pt idx="145">
                  <c:v>0.52190397020599899</c:v>
                </c:pt>
                <c:pt idx="146">
                  <c:v>0.52618350690686522</c:v>
                </c:pt>
                <c:pt idx="147">
                  <c:v>-0.57137298991927588</c:v>
                </c:pt>
                <c:pt idx="148">
                  <c:v>-0.13805436509555952</c:v>
                </c:pt>
                <c:pt idx="149">
                  <c:v>-1.1598649709741433</c:v>
                </c:pt>
                <c:pt idx="150">
                  <c:v>-1.4496337936211761</c:v>
                </c:pt>
                <c:pt idx="151">
                  <c:v>-0.95390044057853418</c:v>
                </c:pt>
                <c:pt idx="152">
                  <c:v>-0.88866898827145235</c:v>
                </c:pt>
                <c:pt idx="153">
                  <c:v>-1.9291589095686088</c:v>
                </c:pt>
                <c:pt idx="154">
                  <c:v>-0.19868952643960056</c:v>
                </c:pt>
                <c:pt idx="155">
                  <c:v>-0.6973542201076699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6-1847-80DC-9FE8A7026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022216719"/>
        <c:axId val="1853133759"/>
      </c:barChart>
      <c:catAx>
        <c:axId val="20222167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53133759"/>
        <c:crosses val="autoZero"/>
        <c:auto val="1"/>
        <c:lblAlgn val="ctr"/>
        <c:lblOffset val="100"/>
        <c:noMultiLvlLbl val="0"/>
      </c:catAx>
      <c:valAx>
        <c:axId val="1853133759"/>
        <c:scaling>
          <c:orientation val="minMax"/>
          <c:max val="4"/>
          <c:min val="-4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2221671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Ln(UVolTomb)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C6E-D34C-9FD4-47AB425390D0}"/>
              </c:ext>
            </c:extLst>
          </c:dPt>
          <c:dPt>
            <c:idx val="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C6E-D34C-9FD4-47AB425390D0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C6E-D34C-9FD4-47AB425390D0}"/>
              </c:ext>
            </c:extLst>
          </c:dPt>
          <c:dPt>
            <c:idx val="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C6E-D34C-9FD4-47AB425390D0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C6E-D34C-9FD4-47AB425390D0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CC6E-D34C-9FD4-47AB425390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6"/>
                <c:pt idx="0">
                  <c:v>9.156415402669156E-2</c:v>
                </c:pt>
                <c:pt idx="1">
                  <c:v>8.5543394428662906E-2</c:v>
                </c:pt>
                <c:pt idx="2">
                  <c:v>8.8998583971683615E-2</c:v>
                </c:pt>
                <c:pt idx="3">
                  <c:v>8.4457303463568556E-2</c:v>
                </c:pt>
                <c:pt idx="4">
                  <c:v>8.447595448299583E-2</c:v>
                </c:pt>
                <c:pt idx="5">
                  <c:v>8.9035071886701428E-2</c:v>
                </c:pt>
              </c:numLit>
            </c:plus>
            <c:minus>
              <c:numLit>
                <c:formatCode>General</c:formatCode>
                <c:ptCount val="6"/>
                <c:pt idx="0">
                  <c:v>9.156415402669156E-2</c:v>
                </c:pt>
                <c:pt idx="1">
                  <c:v>8.5543394428662906E-2</c:v>
                </c:pt>
                <c:pt idx="2">
                  <c:v>8.8998583971683629E-2</c:v>
                </c:pt>
                <c:pt idx="3">
                  <c:v>8.4457303463568542E-2</c:v>
                </c:pt>
                <c:pt idx="4">
                  <c:v>8.447595448299583E-2</c:v>
                </c:pt>
                <c:pt idx="5">
                  <c:v>8.9035071886701428E-2</c:v>
                </c:pt>
              </c:numLit>
            </c:minus>
          </c:errBars>
          <c:cat>
            <c:strRef>
              <c:f>'Regr-SalesTomb'!$B$82:$B$87</c:f>
              <c:strCache>
                <c:ptCount val="6"/>
                <c:pt idx="0">
                  <c:v>Ln(PriceDiG)</c:v>
                </c:pt>
                <c:pt idx="1">
                  <c:v>Ln(PriceFre)</c:v>
                </c:pt>
                <c:pt idx="2">
                  <c:v>Ln(PriceJO)</c:v>
                </c:pt>
                <c:pt idx="3">
                  <c:v>Ln(PriceRB)</c:v>
                </c:pt>
                <c:pt idx="4">
                  <c:v>Ln(PriceTomb)</c:v>
                </c:pt>
                <c:pt idx="5">
                  <c:v>Ln(PriceTO)</c:v>
                </c:pt>
              </c:strCache>
            </c:strRef>
          </c:cat>
          <c:val>
            <c:numRef>
              <c:f>'Regr-SalesTomb'!$C$82:$C$87</c:f>
              <c:numCache>
                <c:formatCode>0.000</c:formatCode>
                <c:ptCount val="6"/>
                <c:pt idx="0">
                  <c:v>3.1259604878499339E-2</c:v>
                </c:pt>
                <c:pt idx="1">
                  <c:v>-2.372630885889114E-2</c:v>
                </c:pt>
                <c:pt idx="2">
                  <c:v>0.10171305038043757</c:v>
                </c:pt>
                <c:pt idx="3">
                  <c:v>5.3788108011145641E-2</c:v>
                </c:pt>
                <c:pt idx="4">
                  <c:v>-0.84180386987311306</c:v>
                </c:pt>
                <c:pt idx="5">
                  <c:v>5.8697925222215196E-2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6E-D34C-9FD4-47AB42539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44645407"/>
        <c:axId val="1844647055"/>
      </c:barChart>
      <c:catAx>
        <c:axId val="184464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4647055"/>
        <c:crosses val="autoZero"/>
        <c:auto val="1"/>
        <c:lblAlgn val="ctr"/>
        <c:lblOffset val="100"/>
        <c:noMultiLvlLbl val="0"/>
      </c:catAx>
      <c:valAx>
        <c:axId val="18446470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464540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Ln(UVolTomb)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'Regr-SalesTomb'!$D$115:$D$270</c:f>
              <c:numCache>
                <c:formatCode>0.000</c:formatCode>
                <c:ptCount val="156"/>
                <c:pt idx="0">
                  <c:v>9.1575723064375278</c:v>
                </c:pt>
                <c:pt idx="1">
                  <c:v>8.9159693113736047</c:v>
                </c:pt>
                <c:pt idx="2">
                  <c:v>8.9998662237626359</c:v>
                </c:pt>
                <c:pt idx="3">
                  <c:v>9.1016409550528419</c:v>
                </c:pt>
                <c:pt idx="4">
                  <c:v>9.1210719042180006</c:v>
                </c:pt>
                <c:pt idx="5">
                  <c:v>9.1160296925049416</c:v>
                </c:pt>
                <c:pt idx="6">
                  <c:v>11.180287866716585</c:v>
                </c:pt>
                <c:pt idx="7">
                  <c:v>9.4476234868441118</c:v>
                </c:pt>
                <c:pt idx="8">
                  <c:v>9.1764733024646059</c:v>
                </c:pt>
                <c:pt idx="9">
                  <c:v>9.2763153608997158</c:v>
                </c:pt>
                <c:pt idx="10">
                  <c:v>11.064996390042804</c:v>
                </c:pt>
                <c:pt idx="11">
                  <c:v>9.0261771203028562</c:v>
                </c:pt>
                <c:pt idx="12">
                  <c:v>9.0336031934761287</c:v>
                </c:pt>
                <c:pt idx="13">
                  <c:v>8.8764049150069404</c:v>
                </c:pt>
                <c:pt idx="14">
                  <c:v>8.9029996618612177</c:v>
                </c:pt>
                <c:pt idx="15">
                  <c:v>9.2699291633878396</c:v>
                </c:pt>
                <c:pt idx="16">
                  <c:v>8.9015027574516097</c:v>
                </c:pt>
                <c:pt idx="17">
                  <c:v>9.0110354101418153</c:v>
                </c:pt>
                <c:pt idx="18">
                  <c:v>9.9523729502659393</c:v>
                </c:pt>
                <c:pt idx="19">
                  <c:v>8.9664837790644309</c:v>
                </c:pt>
                <c:pt idx="20">
                  <c:v>10.216325544869028</c:v>
                </c:pt>
                <c:pt idx="21">
                  <c:v>8.7207868834857312</c:v>
                </c:pt>
                <c:pt idx="22">
                  <c:v>8.9136848247252942</c:v>
                </c:pt>
                <c:pt idx="23">
                  <c:v>9.0068768914287993</c:v>
                </c:pt>
                <c:pt idx="24">
                  <c:v>9.088285725968877</c:v>
                </c:pt>
                <c:pt idx="25">
                  <c:v>8.8828080549244408</c:v>
                </c:pt>
                <c:pt idx="26">
                  <c:v>10.099465435777569</c:v>
                </c:pt>
                <c:pt idx="27">
                  <c:v>8.9099107267018987</c:v>
                </c:pt>
                <c:pt idx="28">
                  <c:v>9.0657769207848293</c:v>
                </c:pt>
                <c:pt idx="29">
                  <c:v>10.291094142342979</c:v>
                </c:pt>
                <c:pt idx="30">
                  <c:v>9.1101884900257417</c:v>
                </c:pt>
                <c:pt idx="31">
                  <c:v>8.9936757867596828</c:v>
                </c:pt>
                <c:pt idx="32">
                  <c:v>9.0581211589986719</c:v>
                </c:pt>
                <c:pt idx="33">
                  <c:v>8.8159635608534384</c:v>
                </c:pt>
                <c:pt idx="34">
                  <c:v>8.977651407818442</c:v>
                </c:pt>
                <c:pt idx="35">
                  <c:v>10.194850342827481</c:v>
                </c:pt>
                <c:pt idx="36">
                  <c:v>8.9298325032724026</c:v>
                </c:pt>
                <c:pt idx="37">
                  <c:v>8.8932981442179155</c:v>
                </c:pt>
                <c:pt idx="38">
                  <c:v>8.8631913406908538</c:v>
                </c:pt>
                <c:pt idx="39">
                  <c:v>8.905308661189288</c:v>
                </c:pt>
                <c:pt idx="40">
                  <c:v>8.9983840100525381</c:v>
                </c:pt>
                <c:pt idx="41">
                  <c:v>8.9643119481245144</c:v>
                </c:pt>
                <c:pt idx="42">
                  <c:v>8.8609247297190414</c:v>
                </c:pt>
                <c:pt idx="43">
                  <c:v>8.8217323809344421</c:v>
                </c:pt>
                <c:pt idx="44">
                  <c:v>10.05216614490749</c:v>
                </c:pt>
                <c:pt idx="45">
                  <c:v>8.9471557711247893</c:v>
                </c:pt>
                <c:pt idx="46">
                  <c:v>8.851377097519439</c:v>
                </c:pt>
                <c:pt idx="47">
                  <c:v>8.9295677078253366</c:v>
                </c:pt>
                <c:pt idx="48">
                  <c:v>8.9505328362903818</c:v>
                </c:pt>
                <c:pt idx="49">
                  <c:v>8.8363739309273885</c:v>
                </c:pt>
                <c:pt idx="50">
                  <c:v>8.9789126010742759</c:v>
                </c:pt>
                <c:pt idx="51">
                  <c:v>8.9868217503318899</c:v>
                </c:pt>
                <c:pt idx="52">
                  <c:v>10.300920488947028</c:v>
                </c:pt>
                <c:pt idx="53">
                  <c:v>8.9860711873744634</c:v>
                </c:pt>
                <c:pt idx="54">
                  <c:v>8.8997307948806963</c:v>
                </c:pt>
                <c:pt idx="55">
                  <c:v>10.253439950714034</c:v>
                </c:pt>
                <c:pt idx="56">
                  <c:v>9.0941435775736714</c:v>
                </c:pt>
                <c:pt idx="57">
                  <c:v>9.0321701863047039</c:v>
                </c:pt>
                <c:pt idx="58">
                  <c:v>9.1729499827576237</c:v>
                </c:pt>
                <c:pt idx="59">
                  <c:v>8.9673766932126657</c:v>
                </c:pt>
                <c:pt idx="60">
                  <c:v>9.1107410067534271</c:v>
                </c:pt>
                <c:pt idx="61">
                  <c:v>8.9717023997033252</c:v>
                </c:pt>
                <c:pt idx="62">
                  <c:v>9.076694687106265</c:v>
                </c:pt>
                <c:pt idx="63">
                  <c:v>10.901616302625916</c:v>
                </c:pt>
                <c:pt idx="64">
                  <c:v>9.108750516214549</c:v>
                </c:pt>
                <c:pt idx="65">
                  <c:v>8.9105857182901325</c:v>
                </c:pt>
                <c:pt idx="66">
                  <c:v>8.8600734243327803</c:v>
                </c:pt>
                <c:pt idx="67">
                  <c:v>8.8560910552522891</c:v>
                </c:pt>
                <c:pt idx="68">
                  <c:v>9.108750516214549</c:v>
                </c:pt>
                <c:pt idx="69">
                  <c:v>8.7983037184849788</c:v>
                </c:pt>
                <c:pt idx="70">
                  <c:v>10.224918665034282</c:v>
                </c:pt>
                <c:pt idx="71">
                  <c:v>8.774158291205957</c:v>
                </c:pt>
                <c:pt idx="72">
                  <c:v>8.7568398148294619</c:v>
                </c:pt>
                <c:pt idx="73">
                  <c:v>8.8286406174182801</c:v>
                </c:pt>
                <c:pt idx="74">
                  <c:v>8.890823576004383</c:v>
                </c:pt>
                <c:pt idx="75">
                  <c:v>8.6823685893752209</c:v>
                </c:pt>
                <c:pt idx="76">
                  <c:v>10.077104668699937</c:v>
                </c:pt>
                <c:pt idx="77">
                  <c:v>8.8480784211686672</c:v>
                </c:pt>
                <c:pt idx="78">
                  <c:v>8.898092345579153</c:v>
                </c:pt>
                <c:pt idx="79">
                  <c:v>8.8623419635163465</c:v>
                </c:pt>
                <c:pt idx="80">
                  <c:v>8.7760127191829174</c:v>
                </c:pt>
                <c:pt idx="81">
                  <c:v>10.084933726294128</c:v>
                </c:pt>
                <c:pt idx="82">
                  <c:v>8.9402362317984707</c:v>
                </c:pt>
                <c:pt idx="83">
                  <c:v>8.7269677749914933</c:v>
                </c:pt>
                <c:pt idx="84">
                  <c:v>8.8972721131339867</c:v>
                </c:pt>
                <c:pt idx="85">
                  <c:v>10.220267155811605</c:v>
                </c:pt>
                <c:pt idx="86">
                  <c:v>8.9554481223473932</c:v>
                </c:pt>
                <c:pt idx="87">
                  <c:v>8.8405801884887953</c:v>
                </c:pt>
                <c:pt idx="88">
                  <c:v>8.7345600899529927</c:v>
                </c:pt>
                <c:pt idx="89">
                  <c:v>8.7372921125442211</c:v>
                </c:pt>
                <c:pt idx="90">
                  <c:v>8.92172453036431</c:v>
                </c:pt>
                <c:pt idx="91">
                  <c:v>10.205848855956967</c:v>
                </c:pt>
                <c:pt idx="92">
                  <c:v>8.9602109555769864</c:v>
                </c:pt>
                <c:pt idx="93">
                  <c:v>8.9089649723923987</c:v>
                </c:pt>
                <c:pt idx="94">
                  <c:v>8.7629589207667262</c:v>
                </c:pt>
                <c:pt idx="95">
                  <c:v>8.798605650854423</c:v>
                </c:pt>
                <c:pt idx="96">
                  <c:v>8.6638875705670415</c:v>
                </c:pt>
                <c:pt idx="97">
                  <c:v>8.8486528862139053</c:v>
                </c:pt>
                <c:pt idx="98">
                  <c:v>11.313071102883967</c:v>
                </c:pt>
                <c:pt idx="99">
                  <c:v>8.9911888419315105</c:v>
                </c:pt>
                <c:pt idx="100">
                  <c:v>8.7565250029269723</c:v>
                </c:pt>
                <c:pt idx="101">
                  <c:v>8.7155521259078164</c:v>
                </c:pt>
                <c:pt idx="102">
                  <c:v>8.6567812056232913</c:v>
                </c:pt>
                <c:pt idx="103">
                  <c:v>8.77539495854551</c:v>
                </c:pt>
                <c:pt idx="104">
                  <c:v>8.9528641415814683</c:v>
                </c:pt>
                <c:pt idx="105">
                  <c:v>8.8741680903639679</c:v>
                </c:pt>
                <c:pt idx="106">
                  <c:v>8.8528079176233216</c:v>
                </c:pt>
                <c:pt idx="107">
                  <c:v>10.258606286207554</c:v>
                </c:pt>
                <c:pt idx="108">
                  <c:v>8.9550609506319017</c:v>
                </c:pt>
                <c:pt idx="109">
                  <c:v>9.0805733139171174</c:v>
                </c:pt>
                <c:pt idx="110">
                  <c:v>8.9572529442889017</c:v>
                </c:pt>
                <c:pt idx="111">
                  <c:v>8.9316841107317142</c:v>
                </c:pt>
                <c:pt idx="112">
                  <c:v>8.8902728393802466</c:v>
                </c:pt>
                <c:pt idx="113">
                  <c:v>10.126231023828998</c:v>
                </c:pt>
                <c:pt idx="114">
                  <c:v>8.8174459210418696</c:v>
                </c:pt>
                <c:pt idx="115">
                  <c:v>10.537521468603567</c:v>
                </c:pt>
                <c:pt idx="116">
                  <c:v>9.0819386571716585</c:v>
                </c:pt>
                <c:pt idx="117">
                  <c:v>8.8595054845191328</c:v>
                </c:pt>
                <c:pt idx="118">
                  <c:v>8.7646780741166062</c:v>
                </c:pt>
                <c:pt idx="119">
                  <c:v>8.3735537412146268</c:v>
                </c:pt>
                <c:pt idx="120">
                  <c:v>8.5794165345963691</c:v>
                </c:pt>
                <c:pt idx="121">
                  <c:v>10.858883606290863</c:v>
                </c:pt>
                <c:pt idx="122">
                  <c:v>8.6904740035580428</c:v>
                </c:pt>
                <c:pt idx="123">
                  <c:v>8.7922458474678766</c:v>
                </c:pt>
                <c:pt idx="124">
                  <c:v>8.787830829258759</c:v>
                </c:pt>
                <c:pt idx="125">
                  <c:v>10.136343782704131</c:v>
                </c:pt>
                <c:pt idx="126">
                  <c:v>8.7193173755063711</c:v>
                </c:pt>
                <c:pt idx="127">
                  <c:v>8.7573118469364086</c:v>
                </c:pt>
                <c:pt idx="128">
                  <c:v>10.072174918054278</c:v>
                </c:pt>
                <c:pt idx="129">
                  <c:v>8.9246563021870742</c:v>
                </c:pt>
                <c:pt idx="130">
                  <c:v>8.781708985836179</c:v>
                </c:pt>
                <c:pt idx="131">
                  <c:v>8.9347186140167683</c:v>
                </c:pt>
                <c:pt idx="132">
                  <c:v>10.038630146478422</c:v>
                </c:pt>
                <c:pt idx="133">
                  <c:v>8.9355087115032212</c:v>
                </c:pt>
                <c:pt idx="134">
                  <c:v>8.9488457292780499</c:v>
                </c:pt>
                <c:pt idx="135">
                  <c:v>8.9298325032724026</c:v>
                </c:pt>
                <c:pt idx="136">
                  <c:v>11.112164276066547</c:v>
                </c:pt>
                <c:pt idx="137">
                  <c:v>8.7727652099497853</c:v>
                </c:pt>
                <c:pt idx="138">
                  <c:v>8.7727652099497853</c:v>
                </c:pt>
                <c:pt idx="139">
                  <c:v>10.250016196420983</c:v>
                </c:pt>
                <c:pt idx="140">
                  <c:v>8.8038747635344343</c:v>
                </c:pt>
                <c:pt idx="141">
                  <c:v>8.6033708876572899</c:v>
                </c:pt>
                <c:pt idx="142">
                  <c:v>8.3238511313388166</c:v>
                </c:pt>
                <c:pt idx="143">
                  <c:v>10.780413560888006</c:v>
                </c:pt>
                <c:pt idx="144">
                  <c:v>8.6411791711972281</c:v>
                </c:pt>
                <c:pt idx="145">
                  <c:v>8.5312933157950184</c:v>
                </c:pt>
                <c:pt idx="146">
                  <c:v>10.412741942560633</c:v>
                </c:pt>
                <c:pt idx="147">
                  <c:v>8.8801682479034501</c:v>
                </c:pt>
                <c:pt idx="148">
                  <c:v>8.8417374286005845</c:v>
                </c:pt>
                <c:pt idx="149">
                  <c:v>10.374022290718541</c:v>
                </c:pt>
                <c:pt idx="150">
                  <c:v>9.0533356231660171</c:v>
                </c:pt>
                <c:pt idx="151">
                  <c:v>8.9765149723151119</c:v>
                </c:pt>
                <c:pt idx="152">
                  <c:v>8.4049199489334523</c:v>
                </c:pt>
                <c:pt idx="153">
                  <c:v>10.8104549569494</c:v>
                </c:pt>
                <c:pt idx="154">
                  <c:v>9.5867198991892497</c:v>
                </c:pt>
                <c:pt idx="155">
                  <c:v>8.8723469789830318</c:v>
                </c:pt>
              </c:numCache>
            </c:numRef>
          </c:xVal>
          <c:yVal>
            <c:numRef>
              <c:f>'Regr-SalesTomb'!$G$115:$G$270</c:f>
              <c:numCache>
                <c:formatCode>0.000</c:formatCode>
                <c:ptCount val="156"/>
                <c:pt idx="0">
                  <c:v>4.5757404746366671E-2</c:v>
                </c:pt>
                <c:pt idx="1">
                  <c:v>-0.64024943669897461</c:v>
                </c:pt>
                <c:pt idx="2">
                  <c:v>-0.13018037264303778</c:v>
                </c:pt>
                <c:pt idx="3">
                  <c:v>2.9175354549380087E-2</c:v>
                </c:pt>
                <c:pt idx="4">
                  <c:v>9.6049070283044186E-2</c:v>
                </c:pt>
                <c:pt idx="5">
                  <c:v>-0.11210984229883203</c:v>
                </c:pt>
                <c:pt idx="6">
                  <c:v>0.5738334036385957</c:v>
                </c:pt>
                <c:pt idx="7">
                  <c:v>0.97740530530976388</c:v>
                </c:pt>
                <c:pt idx="8">
                  <c:v>0.22032237167999427</c:v>
                </c:pt>
                <c:pt idx="9">
                  <c:v>0.42805155010091306</c:v>
                </c:pt>
                <c:pt idx="10">
                  <c:v>0.83363194100551985</c:v>
                </c:pt>
                <c:pt idx="11">
                  <c:v>-0.32429922529915756</c:v>
                </c:pt>
                <c:pt idx="12">
                  <c:v>-0.31527387699731235</c:v>
                </c:pt>
                <c:pt idx="13">
                  <c:v>-0.54804384801929817</c:v>
                </c:pt>
                <c:pt idx="14">
                  <c:v>-0.63549620448655408</c:v>
                </c:pt>
                <c:pt idx="15">
                  <c:v>-0.22621434917857494</c:v>
                </c:pt>
                <c:pt idx="16">
                  <c:v>-0.75045329498420177</c:v>
                </c:pt>
                <c:pt idx="17">
                  <c:v>-0.22527027284986298</c:v>
                </c:pt>
                <c:pt idx="18">
                  <c:v>0.32963229415078033</c:v>
                </c:pt>
                <c:pt idx="19">
                  <c:v>-0.57491116801666586</c:v>
                </c:pt>
                <c:pt idx="20">
                  <c:v>1.2120063502146226</c:v>
                </c:pt>
                <c:pt idx="21">
                  <c:v>-1.3155410897771942</c:v>
                </c:pt>
                <c:pt idx="22">
                  <c:v>-0.42750133943372565</c:v>
                </c:pt>
                <c:pt idx="23">
                  <c:v>-0.3289014131533427</c:v>
                </c:pt>
                <c:pt idx="24">
                  <c:v>-0.24909615451148323</c:v>
                </c:pt>
                <c:pt idx="25">
                  <c:v>-0.63882469476095172</c:v>
                </c:pt>
                <c:pt idx="26">
                  <c:v>0.62023998631943844</c:v>
                </c:pt>
                <c:pt idx="27">
                  <c:v>0.46591629752218566</c:v>
                </c:pt>
                <c:pt idx="28">
                  <c:v>0.61971906472454641</c:v>
                </c:pt>
                <c:pt idx="29">
                  <c:v>1.140542139115637</c:v>
                </c:pt>
                <c:pt idx="30">
                  <c:v>0.93647032721182855</c:v>
                </c:pt>
                <c:pt idx="31">
                  <c:v>0.41718507634202529</c:v>
                </c:pt>
                <c:pt idx="32">
                  <c:v>0.4879467855865216</c:v>
                </c:pt>
                <c:pt idx="33">
                  <c:v>0.38160185706401645</c:v>
                </c:pt>
                <c:pt idx="34">
                  <c:v>0.5361629459329168</c:v>
                </c:pt>
                <c:pt idx="35">
                  <c:v>0.78320595770334067</c:v>
                </c:pt>
                <c:pt idx="36">
                  <c:v>-0.26233025233585189</c:v>
                </c:pt>
                <c:pt idx="37">
                  <c:v>0.24130401135545732</c:v>
                </c:pt>
                <c:pt idx="38">
                  <c:v>0.30058482796767827</c:v>
                </c:pt>
                <c:pt idx="39">
                  <c:v>0.13282756028352796</c:v>
                </c:pt>
                <c:pt idx="40">
                  <c:v>0.29244056820479636</c:v>
                </c:pt>
                <c:pt idx="41">
                  <c:v>0.3271151509045917</c:v>
                </c:pt>
                <c:pt idx="42">
                  <c:v>0.3086517513589726</c:v>
                </c:pt>
                <c:pt idx="43">
                  <c:v>-2.9543173117885981E-2</c:v>
                </c:pt>
                <c:pt idx="44">
                  <c:v>-0.2644800157829022</c:v>
                </c:pt>
                <c:pt idx="45">
                  <c:v>0.37156440997753709</c:v>
                </c:pt>
                <c:pt idx="46">
                  <c:v>0.6382000575256539</c:v>
                </c:pt>
                <c:pt idx="47">
                  <c:v>0.88021766767303911</c:v>
                </c:pt>
                <c:pt idx="48">
                  <c:v>0.16499581192369514</c:v>
                </c:pt>
                <c:pt idx="49">
                  <c:v>0.9670693615783823</c:v>
                </c:pt>
                <c:pt idx="50">
                  <c:v>0.58750430427597855</c:v>
                </c:pt>
                <c:pt idx="51">
                  <c:v>0.40589213454364403</c:v>
                </c:pt>
                <c:pt idx="52">
                  <c:v>0.99213198792740653</c:v>
                </c:pt>
                <c:pt idx="53">
                  <c:v>-0.15928272194653614</c:v>
                </c:pt>
                <c:pt idx="54">
                  <c:v>0.53616635280721314</c:v>
                </c:pt>
                <c:pt idx="55">
                  <c:v>1.2524238535774461</c:v>
                </c:pt>
                <c:pt idx="56">
                  <c:v>0.28462506253243408</c:v>
                </c:pt>
                <c:pt idx="57">
                  <c:v>0.37051931181151437</c:v>
                </c:pt>
                <c:pt idx="58">
                  <c:v>1.1308937526357103</c:v>
                </c:pt>
                <c:pt idx="59">
                  <c:v>5.6335159706185307E-2</c:v>
                </c:pt>
                <c:pt idx="60">
                  <c:v>0.59412879474924074</c:v>
                </c:pt>
                <c:pt idx="61">
                  <c:v>0.52065187921243494</c:v>
                </c:pt>
                <c:pt idx="62">
                  <c:v>0.53898830243529749</c:v>
                </c:pt>
                <c:pt idx="63">
                  <c:v>0.22003782640046091</c:v>
                </c:pt>
                <c:pt idx="64">
                  <c:v>-0.2630056985514892</c:v>
                </c:pt>
                <c:pt idx="65">
                  <c:v>0.53782767137136533</c:v>
                </c:pt>
                <c:pt idx="66">
                  <c:v>-0.1410655277476173</c:v>
                </c:pt>
                <c:pt idx="67">
                  <c:v>-0.16957796418743373</c:v>
                </c:pt>
                <c:pt idx="68">
                  <c:v>0.12772253161750466</c:v>
                </c:pt>
                <c:pt idx="69">
                  <c:v>-1.5240307171030365E-2</c:v>
                </c:pt>
                <c:pt idx="70">
                  <c:v>0.66973116763106622</c:v>
                </c:pt>
                <c:pt idx="71">
                  <c:v>-0.33654310188691072</c:v>
                </c:pt>
                <c:pt idx="72">
                  <c:v>0.22329356500888867</c:v>
                </c:pt>
                <c:pt idx="73">
                  <c:v>-4.9349354117742231E-2</c:v>
                </c:pt>
                <c:pt idx="74">
                  <c:v>0.18882234832866182</c:v>
                </c:pt>
                <c:pt idx="75">
                  <c:v>-0.30692299283682878</c:v>
                </c:pt>
                <c:pt idx="76">
                  <c:v>0.2763108026533474</c:v>
                </c:pt>
                <c:pt idx="77">
                  <c:v>-0.20453174780426522</c:v>
                </c:pt>
                <c:pt idx="78">
                  <c:v>0.24479441378991568</c:v>
                </c:pt>
                <c:pt idx="79">
                  <c:v>9.360090103431383E-2</c:v>
                </c:pt>
                <c:pt idx="80">
                  <c:v>-0.38738166725945355</c:v>
                </c:pt>
                <c:pt idx="81">
                  <c:v>0.4533883530296815</c:v>
                </c:pt>
                <c:pt idx="82">
                  <c:v>4.1291415716732699E-2</c:v>
                </c:pt>
                <c:pt idx="83">
                  <c:v>-0.60062060462401923</c:v>
                </c:pt>
                <c:pt idx="84">
                  <c:v>0.10313163325389231</c:v>
                </c:pt>
                <c:pt idx="85">
                  <c:v>0.65134480919688531</c:v>
                </c:pt>
                <c:pt idx="86">
                  <c:v>-0.13388746717262745</c:v>
                </c:pt>
                <c:pt idx="87">
                  <c:v>0.14469988712867149</c:v>
                </c:pt>
                <c:pt idx="88">
                  <c:v>-0.38519056962079118</c:v>
                </c:pt>
                <c:pt idx="89">
                  <c:v>6.4296570125150318E-2</c:v>
                </c:pt>
                <c:pt idx="90">
                  <c:v>0.43546915859643437</c:v>
                </c:pt>
                <c:pt idx="91">
                  <c:v>0.71580069587516848</c:v>
                </c:pt>
                <c:pt idx="92">
                  <c:v>-0.12296281561426302</c:v>
                </c:pt>
                <c:pt idx="93">
                  <c:v>0.12201417698105513</c:v>
                </c:pt>
                <c:pt idx="94">
                  <c:v>-0.14960970450560707</c:v>
                </c:pt>
                <c:pt idx="95">
                  <c:v>8.3852009314191581E-2</c:v>
                </c:pt>
                <c:pt idx="96">
                  <c:v>-1.6734417313617786E-2</c:v>
                </c:pt>
                <c:pt idx="97">
                  <c:v>-7.3364239025313055E-2</c:v>
                </c:pt>
                <c:pt idx="98">
                  <c:v>1.7457801330526956</c:v>
                </c:pt>
                <c:pt idx="99">
                  <c:v>-1.1264288154842146</c:v>
                </c:pt>
                <c:pt idx="100">
                  <c:v>-0.25400658803587911</c:v>
                </c:pt>
                <c:pt idx="101">
                  <c:v>0.19317501334095782</c:v>
                </c:pt>
                <c:pt idx="102">
                  <c:v>-0.40462537703287521</c:v>
                </c:pt>
                <c:pt idx="103">
                  <c:v>-0.12967984470486332</c:v>
                </c:pt>
                <c:pt idx="104">
                  <c:v>0.21650857087995379</c:v>
                </c:pt>
                <c:pt idx="105">
                  <c:v>5.0814755273108608E-2</c:v>
                </c:pt>
                <c:pt idx="106">
                  <c:v>0.27211347034723837</c:v>
                </c:pt>
                <c:pt idx="107">
                  <c:v>0.90381580097052605</c:v>
                </c:pt>
                <c:pt idx="108">
                  <c:v>-1.9266025001976439E-2</c:v>
                </c:pt>
                <c:pt idx="109">
                  <c:v>0.7072177471504183</c:v>
                </c:pt>
                <c:pt idx="110">
                  <c:v>5.86535044725097E-2</c:v>
                </c:pt>
                <c:pt idx="111">
                  <c:v>0.1391358245584271</c:v>
                </c:pt>
                <c:pt idx="112">
                  <c:v>0.15054542570776927</c:v>
                </c:pt>
                <c:pt idx="113">
                  <c:v>0.44458091001263028</c:v>
                </c:pt>
                <c:pt idx="114">
                  <c:v>-1.7243014325901034</c:v>
                </c:pt>
                <c:pt idx="115">
                  <c:v>-0.46429358757350642</c:v>
                </c:pt>
                <c:pt idx="116">
                  <c:v>-1.4837336133344114</c:v>
                </c:pt>
                <c:pt idx="117">
                  <c:v>-1.232904497402014</c:v>
                </c:pt>
                <c:pt idx="118">
                  <c:v>-0.95349876334177597</c:v>
                </c:pt>
                <c:pt idx="119">
                  <c:v>-0.22491997747653283</c:v>
                </c:pt>
                <c:pt idx="120">
                  <c:v>0.31056099650255181</c:v>
                </c:pt>
                <c:pt idx="121">
                  <c:v>4.8684579423959775</c:v>
                </c:pt>
                <c:pt idx="122">
                  <c:v>-1.8915092936324464E-2</c:v>
                </c:pt>
                <c:pt idx="123">
                  <c:v>-0.79411370357598432</c:v>
                </c:pt>
                <c:pt idx="124">
                  <c:v>-1.2308351231127379</c:v>
                </c:pt>
                <c:pt idx="125">
                  <c:v>0.48686974018692153</c:v>
                </c:pt>
                <c:pt idx="126">
                  <c:v>-1.7165685200928618</c:v>
                </c:pt>
                <c:pt idx="127">
                  <c:v>-1.7003348726217964</c:v>
                </c:pt>
                <c:pt idx="128">
                  <c:v>0.215161759568265</c:v>
                </c:pt>
                <c:pt idx="129">
                  <c:v>-0.8288118268367467</c:v>
                </c:pt>
                <c:pt idx="130">
                  <c:v>-0.985894604821141</c:v>
                </c:pt>
                <c:pt idx="131">
                  <c:v>-0.70726774238909618</c:v>
                </c:pt>
                <c:pt idx="132">
                  <c:v>0.19396719591330477</c:v>
                </c:pt>
                <c:pt idx="133">
                  <c:v>-1.0952617898802726</c:v>
                </c:pt>
                <c:pt idx="134">
                  <c:v>-0.95546637549969582</c:v>
                </c:pt>
                <c:pt idx="135">
                  <c:v>-1.3062282995860626</c:v>
                </c:pt>
                <c:pt idx="136">
                  <c:v>0.24077214497612301</c:v>
                </c:pt>
                <c:pt idx="137">
                  <c:v>-2.4138949798826639</c:v>
                </c:pt>
                <c:pt idx="138">
                  <c:v>-1.1307642210783861</c:v>
                </c:pt>
                <c:pt idx="139">
                  <c:v>-1.2804572040668565</c:v>
                </c:pt>
                <c:pt idx="140">
                  <c:v>-1.6789921147609563</c:v>
                </c:pt>
                <c:pt idx="141">
                  <c:v>-1.4951905085215969</c:v>
                </c:pt>
                <c:pt idx="142">
                  <c:v>-0.99221520670889407</c:v>
                </c:pt>
                <c:pt idx="143">
                  <c:v>4.8855256138076957</c:v>
                </c:pt>
                <c:pt idx="144">
                  <c:v>-8.3733082318001556E-2</c:v>
                </c:pt>
                <c:pt idx="145">
                  <c:v>-0.80763987609510368</c:v>
                </c:pt>
                <c:pt idx="146">
                  <c:v>-0.61979275109889231</c:v>
                </c:pt>
                <c:pt idx="147">
                  <c:v>-1.1735510308130341</c:v>
                </c:pt>
                <c:pt idx="148">
                  <c:v>-0.99678506849005599</c:v>
                </c:pt>
                <c:pt idx="149">
                  <c:v>-1.1326383882171751</c:v>
                </c:pt>
                <c:pt idx="150">
                  <c:v>-1.0140834526234823</c:v>
                </c:pt>
                <c:pt idx="151">
                  <c:v>-1.1050984286183789</c:v>
                </c:pt>
                <c:pt idx="152">
                  <c:v>-0.58442858109603402</c:v>
                </c:pt>
                <c:pt idx="153">
                  <c:v>4.8359149910389538</c:v>
                </c:pt>
                <c:pt idx="154">
                  <c:v>-1.0449954142890452</c:v>
                </c:pt>
                <c:pt idx="155">
                  <c:v>-0.92148132763689028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0B-3344-A235-D88BE79B9374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8.9159693113736047</c:v>
              </c:pt>
            </c:numLit>
          </c:xVal>
          <c:yVal>
            <c:numLit>
              <c:formatCode>General</c:formatCode>
              <c:ptCount val="1"/>
              <c:pt idx="0">
                <c:v>-0.64024943669897461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D0B-3344-A235-D88BE79B9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344479"/>
        <c:axId val="2022346127"/>
      </c:scatterChart>
      <c:valAx>
        <c:axId val="2022344479"/>
        <c:scaling>
          <c:orientation val="minMax"/>
          <c:max val="11.5"/>
          <c:min val="8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Ln(UVolTomb)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022346127"/>
        <c:crosses val="autoZero"/>
        <c:crossBetween val="midCat"/>
      </c:valAx>
      <c:valAx>
        <c:axId val="2022346127"/>
        <c:scaling>
          <c:orientation val="minMax"/>
          <c:max val="5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223444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Pred(Ln(UVolTomb))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'Regr-SalesTomb'!$E$115:$E$270</c:f>
              <c:numCache>
                <c:formatCode>0.000</c:formatCode>
                <c:ptCount val="156"/>
                <c:pt idx="0">
                  <c:v>9.1421923820469626</c:v>
                </c:pt>
                <c:pt idx="1">
                  <c:v>9.1311691895597491</c:v>
                </c:pt>
                <c:pt idx="2">
                  <c:v>9.0436222955827823</c:v>
                </c:pt>
                <c:pt idx="3">
                  <c:v>9.091834569626819</c:v>
                </c:pt>
                <c:pt idx="4">
                  <c:v>9.0887880050999108</c:v>
                </c:pt>
                <c:pt idx="5">
                  <c:v>9.1537119191861027</c:v>
                </c:pt>
                <c:pt idx="6">
                  <c:v>10.98741166646742</c:v>
                </c:pt>
                <c:pt idx="7">
                  <c:v>9.1190991796215712</c:v>
                </c:pt>
                <c:pt idx="8">
                  <c:v>9.1024188092788361</c:v>
                </c:pt>
                <c:pt idx="9">
                  <c:v>9.1324391836491028</c:v>
                </c:pt>
                <c:pt idx="10">
                  <c:v>10.784797014809595</c:v>
                </c:pt>
                <c:pt idx="11">
                  <c:v>9.1351801897004048</c:v>
                </c:pt>
                <c:pt idx="12">
                  <c:v>9.1395726735508056</c:v>
                </c:pt>
                <c:pt idx="13">
                  <c:v>9.0606127605342923</c:v>
                </c:pt>
                <c:pt idx="14">
                  <c:v>9.1166018892967777</c:v>
                </c:pt>
                <c:pt idx="15">
                  <c:v>9.345964061033639</c:v>
                </c:pt>
                <c:pt idx="16">
                  <c:v>9.1537442252421108</c:v>
                </c:pt>
                <c:pt idx="17">
                  <c:v>9.0867529859763145</c:v>
                </c:pt>
                <c:pt idx="18">
                  <c:v>9.8415773361171688</c:v>
                </c:pt>
                <c:pt idx="19">
                  <c:v>9.1597222361928363</c:v>
                </c:pt>
                <c:pt idx="20">
                  <c:v>9.8089474138209383</c:v>
                </c:pt>
                <c:pt idx="21">
                  <c:v>9.162964987895414</c:v>
                </c:pt>
                <c:pt idx="22">
                  <c:v>9.0573760658217015</c:v>
                </c:pt>
                <c:pt idx="23">
                  <c:v>9.1174268427271219</c:v>
                </c:pt>
                <c:pt idx="24">
                  <c:v>9.1720116287730864</c:v>
                </c:pt>
                <c:pt idx="25">
                  <c:v>9.0975290505471111</c:v>
                </c:pt>
                <c:pt idx="26">
                  <c:v>9.890991110223613</c:v>
                </c:pt>
                <c:pt idx="27">
                  <c:v>8.7533074956414154</c:v>
                </c:pt>
                <c:pt idx="28">
                  <c:v>8.8574776867769796</c:v>
                </c:pt>
                <c:pt idx="29">
                  <c:v>9.9077364768222989</c:v>
                </c:pt>
                <c:pt idx="30">
                  <c:v>8.7954231988917542</c:v>
                </c:pt>
                <c:pt idx="31">
                  <c:v>8.8534520357279547</c:v>
                </c:pt>
                <c:pt idx="32">
                  <c:v>8.894113066526252</c:v>
                </c:pt>
                <c:pt idx="33">
                  <c:v>8.687699999109153</c:v>
                </c:pt>
                <c:pt idx="34">
                  <c:v>8.7974369569513229</c:v>
                </c:pt>
                <c:pt idx="35">
                  <c:v>9.9316000890491765</c:v>
                </c:pt>
                <c:pt idx="36">
                  <c:v>9.0180066352767678</c:v>
                </c:pt>
                <c:pt idx="37">
                  <c:v>8.8121913272915968</c:v>
                </c:pt>
                <c:pt idx="38">
                  <c:v>8.7621591262827359</c:v>
                </c:pt>
                <c:pt idx="39">
                  <c:v>8.8606628198119726</c:v>
                </c:pt>
                <c:pt idx="40">
                  <c:v>8.9000892345368694</c:v>
                </c:pt>
                <c:pt idx="41">
                  <c:v>8.854362393165971</c:v>
                </c:pt>
                <c:pt idx="42">
                  <c:v>8.7571810706275919</c:v>
                </c:pt>
                <c:pt idx="43">
                  <c:v>8.8316623970996737</c:v>
                </c:pt>
                <c:pt idx="44">
                  <c:v>10.141062852841511</c:v>
                </c:pt>
                <c:pt idx="45">
                  <c:v>8.8222659841415521</c:v>
                </c:pt>
                <c:pt idx="46">
                  <c:v>8.6368660542204125</c:v>
                </c:pt>
                <c:pt idx="47">
                  <c:v>8.6337099936238779</c:v>
                </c:pt>
                <c:pt idx="48">
                  <c:v>8.8950746404811483</c:v>
                </c:pt>
                <c:pt idx="49">
                  <c:v>8.5113237288026991</c:v>
                </c:pt>
                <c:pt idx="50">
                  <c:v>8.7814413539836362</c:v>
                </c:pt>
                <c:pt idx="51">
                  <c:v>8.8503937694485977</c:v>
                </c:pt>
                <c:pt idx="52">
                  <c:v>9.9674462667011454</c:v>
                </c:pt>
                <c:pt idx="53">
                  <c:v>9.0396091061843293</c:v>
                </c:pt>
                <c:pt idx="54">
                  <c:v>8.719515198899046</c:v>
                </c:pt>
                <c:pt idx="55">
                  <c:v>9.8324767365690935</c:v>
                </c:pt>
                <c:pt idx="56">
                  <c:v>8.9984757405170619</c:v>
                </c:pt>
                <c:pt idx="57">
                  <c:v>8.9076316764724162</c:v>
                </c:pt>
                <c:pt idx="58">
                  <c:v>8.7928353214102515</c:v>
                </c:pt>
                <c:pt idx="59">
                  <c:v>8.9484413864221217</c:v>
                </c:pt>
                <c:pt idx="60">
                  <c:v>8.9110431438140623</c:v>
                </c:pt>
                <c:pt idx="61">
                  <c:v>8.7967015101100667</c:v>
                </c:pt>
                <c:pt idx="62">
                  <c:v>8.8955305807763008</c:v>
                </c:pt>
                <c:pt idx="63">
                  <c:v>10.827657450460636</c:v>
                </c:pt>
                <c:pt idx="64">
                  <c:v>9.197151678396521</c:v>
                </c:pt>
                <c:pt idx="65">
                  <c:v>8.7298117218911742</c:v>
                </c:pt>
                <c:pt idx="66">
                  <c:v>8.9074882015234778</c:v>
                </c:pt>
                <c:pt idx="67">
                  <c:v>8.9130893986234963</c:v>
                </c:pt>
                <c:pt idx="68">
                  <c:v>9.0658205709928463</c:v>
                </c:pt>
                <c:pt idx="69">
                  <c:v>8.8034262723815271</c:v>
                </c:pt>
                <c:pt idx="70">
                  <c:v>9.9998094225572238</c:v>
                </c:pt>
                <c:pt idx="71">
                  <c:v>8.8872767578208709</c:v>
                </c:pt>
                <c:pt idx="72">
                  <c:v>8.6817866476803971</c:v>
                </c:pt>
                <c:pt idx="73">
                  <c:v>8.8452278635538768</c:v>
                </c:pt>
                <c:pt idx="74">
                  <c:v>8.8273568331538854</c:v>
                </c:pt>
                <c:pt idx="75">
                  <c:v>8.785531180210997</c:v>
                </c:pt>
                <c:pt idx="76">
                  <c:v>9.9842314107723809</c:v>
                </c:pt>
                <c:pt idx="77">
                  <c:v>8.9168253886624811</c:v>
                </c:pt>
                <c:pt idx="78">
                  <c:v>8.8158123387433065</c:v>
                </c:pt>
                <c:pt idx="79">
                  <c:v>8.8308809401305997</c:v>
                </c:pt>
                <c:pt idx="80">
                  <c:v>8.9062189838468804</c:v>
                </c:pt>
                <c:pt idx="81">
                  <c:v>9.932541373016857</c:v>
                </c:pt>
                <c:pt idx="82">
                  <c:v>8.9263574103219714</c:v>
                </c:pt>
                <c:pt idx="83">
                  <c:v>8.9288476573348312</c:v>
                </c:pt>
                <c:pt idx="84">
                  <c:v>8.8626076313848046</c:v>
                </c:pt>
                <c:pt idx="85">
                  <c:v>10.001337914235013</c:v>
                </c:pt>
                <c:pt idx="86">
                  <c:v>9.0004502183660229</c:v>
                </c:pt>
                <c:pt idx="87">
                  <c:v>8.7919438347511196</c:v>
                </c:pt>
                <c:pt idx="88">
                  <c:v>8.8640298854880406</c:v>
                </c:pt>
                <c:pt idx="89">
                  <c:v>8.7156808259649488</c:v>
                </c:pt>
                <c:pt idx="90">
                  <c:v>8.7753551553798594</c:v>
                </c:pt>
                <c:pt idx="91">
                  <c:v>9.9652547785109942</c:v>
                </c:pt>
                <c:pt idx="92">
                  <c:v>9.0015410707240555</c:v>
                </c:pt>
                <c:pt idx="93">
                  <c:v>8.8679537125329837</c:v>
                </c:pt>
                <c:pt idx="94">
                  <c:v>8.8132455564740049</c:v>
                </c:pt>
                <c:pt idx="95">
                  <c:v>8.7704214133436267</c:v>
                </c:pt>
                <c:pt idx="96">
                  <c:v>8.669512322985371</c:v>
                </c:pt>
                <c:pt idx="97">
                  <c:v>8.873311986865156</c:v>
                </c:pt>
                <c:pt idx="98">
                  <c:v>10.726281563622928</c:v>
                </c:pt>
                <c:pt idx="99">
                  <c:v>9.3698027539208439</c:v>
                </c:pt>
                <c:pt idx="100">
                  <c:v>8.8419013947995353</c:v>
                </c:pt>
                <c:pt idx="101">
                  <c:v>8.6506223704770022</c:v>
                </c:pt>
                <c:pt idx="102">
                  <c:v>8.7927834054806535</c:v>
                </c:pt>
                <c:pt idx="103">
                  <c:v>8.8189827935111591</c:v>
                </c:pt>
                <c:pt idx="104">
                  <c:v>8.8800915385787285</c:v>
                </c:pt>
                <c:pt idx="105">
                  <c:v>8.857088295337185</c:v>
                </c:pt>
                <c:pt idx="106">
                  <c:v>8.7613454620318656</c:v>
                </c:pt>
                <c:pt idx="107">
                  <c:v>9.9548167955453106</c:v>
                </c:pt>
                <c:pt idx="108">
                  <c:v>8.9615366240115346</c:v>
                </c:pt>
                <c:pt idx="109">
                  <c:v>8.8428641269750194</c:v>
                </c:pt>
                <c:pt idx="110">
                  <c:v>8.9375383982164323</c:v>
                </c:pt>
                <c:pt idx="111">
                  <c:v>8.8849179430788716</c:v>
                </c:pt>
                <c:pt idx="112">
                  <c:v>8.8396716901768535</c:v>
                </c:pt>
                <c:pt idx="113">
                  <c:v>9.9767990178097783</c:v>
                </c:pt>
                <c:pt idx="114">
                  <c:v>9.3970160650825427</c:v>
                </c:pt>
                <c:pt idx="115">
                  <c:v>10.693579276328595</c:v>
                </c:pt>
                <c:pt idx="116">
                  <c:v>9.5806494322978502</c:v>
                </c:pt>
                <c:pt idx="117">
                  <c:v>9.2739078759121121</c:v>
                </c:pt>
                <c:pt idx="118">
                  <c:v>9.0851669429233191</c:v>
                </c:pt>
                <c:pt idx="119">
                  <c:v>8.4491535761854113</c:v>
                </c:pt>
                <c:pt idx="120">
                  <c:v>8.4750311423009919</c:v>
                </c:pt>
                <c:pt idx="121">
                  <c:v>9.2225033205701692</c:v>
                </c:pt>
                <c:pt idx="122">
                  <c:v>8.696831722069696</c:v>
                </c:pt>
                <c:pt idx="123">
                  <c:v>9.0591623997987902</c:v>
                </c:pt>
                <c:pt idx="124">
                  <c:v>9.2015376650300578</c:v>
                </c:pt>
                <c:pt idx="125">
                  <c:v>9.9726977054487644</c:v>
                </c:pt>
                <c:pt idx="126">
                  <c:v>9.2962883422076459</c:v>
                </c:pt>
                <c:pt idx="127">
                  <c:v>9.3288263793824626</c:v>
                </c:pt>
                <c:pt idx="128">
                  <c:v>9.9998550036656972</c:v>
                </c:pt>
                <c:pt idx="129">
                  <c:v>9.2032355463861801</c:v>
                </c:pt>
                <c:pt idx="130">
                  <c:v>9.113086706300523</c:v>
                </c:pt>
                <c:pt idx="131">
                  <c:v>9.172444605298951</c:v>
                </c:pt>
                <c:pt idx="132">
                  <c:v>9.9734341235848056</c:v>
                </c:pt>
                <c:pt idx="133">
                  <c:v>9.3036467999635661</c:v>
                </c:pt>
                <c:pt idx="134">
                  <c:v>9.269995949540041</c:v>
                </c:pt>
                <c:pt idx="135">
                  <c:v>9.3688804037337032</c:v>
                </c:pt>
                <c:pt idx="136">
                  <c:v>11.031236229434247</c:v>
                </c:pt>
                <c:pt idx="137">
                  <c:v>9.5841207158651045</c:v>
                </c:pt>
                <c:pt idx="138">
                  <c:v>9.1528363333043696</c:v>
                </c:pt>
                <c:pt idx="139">
                  <c:v>10.680401946947329</c:v>
                </c:pt>
                <c:pt idx="140">
                  <c:v>9.3682155936255285</c:v>
                </c:pt>
                <c:pt idx="141">
                  <c:v>9.1059325407497091</c:v>
                </c:pt>
                <c:pt idx="142">
                  <c:v>8.6573533249824273</c:v>
                </c:pt>
                <c:pt idx="143">
                  <c:v>9.138296509778403</c:v>
                </c:pt>
                <c:pt idx="144">
                  <c:v>8.669323435107696</c:v>
                </c:pt>
                <c:pt idx="145">
                  <c:v>8.8027562691246537</c:v>
                </c:pt>
                <c:pt idx="146">
                  <c:v>10.621065943944874</c:v>
                </c:pt>
                <c:pt idx="147">
                  <c:v>9.2746208227909612</c:v>
                </c:pt>
                <c:pt idx="148">
                  <c:v>9.176775638743802</c:v>
                </c:pt>
                <c:pt idx="149">
                  <c:v>10.754723356899857</c:v>
                </c:pt>
                <c:pt idx="150">
                  <c:v>9.3941881455834064</c:v>
                </c:pt>
                <c:pt idx="151">
                  <c:v>9.3479593400735936</c:v>
                </c:pt>
                <c:pt idx="152">
                  <c:v>8.6013573876117473</c:v>
                </c:pt>
                <c:pt idx="153">
                  <c:v>9.1850129692832212</c:v>
                </c:pt>
                <c:pt idx="154">
                  <c:v>9.9379625133484168</c:v>
                </c:pt>
                <c:pt idx="155">
                  <c:v>9.1820741854303858</c:v>
                </c:pt>
              </c:numCache>
            </c:numRef>
          </c:xVal>
          <c:yVal>
            <c:numRef>
              <c:f>'Regr-SalesTomb'!$G$115:$G$270</c:f>
              <c:numCache>
                <c:formatCode>0.000</c:formatCode>
                <c:ptCount val="156"/>
                <c:pt idx="0">
                  <c:v>4.5757404746366671E-2</c:v>
                </c:pt>
                <c:pt idx="1">
                  <c:v>-0.64024943669897461</c:v>
                </c:pt>
                <c:pt idx="2">
                  <c:v>-0.13018037264303778</c:v>
                </c:pt>
                <c:pt idx="3">
                  <c:v>2.9175354549380087E-2</c:v>
                </c:pt>
                <c:pt idx="4">
                  <c:v>9.6049070283044186E-2</c:v>
                </c:pt>
                <c:pt idx="5">
                  <c:v>-0.11210984229883203</c:v>
                </c:pt>
                <c:pt idx="6">
                  <c:v>0.5738334036385957</c:v>
                </c:pt>
                <c:pt idx="7">
                  <c:v>0.97740530530976388</c:v>
                </c:pt>
                <c:pt idx="8">
                  <c:v>0.22032237167999427</c:v>
                </c:pt>
                <c:pt idx="9">
                  <c:v>0.42805155010091306</c:v>
                </c:pt>
                <c:pt idx="10">
                  <c:v>0.83363194100551985</c:v>
                </c:pt>
                <c:pt idx="11">
                  <c:v>-0.32429922529915756</c:v>
                </c:pt>
                <c:pt idx="12">
                  <c:v>-0.31527387699731235</c:v>
                </c:pt>
                <c:pt idx="13">
                  <c:v>-0.54804384801929817</c:v>
                </c:pt>
                <c:pt idx="14">
                  <c:v>-0.63549620448655408</c:v>
                </c:pt>
                <c:pt idx="15">
                  <c:v>-0.22621434917857494</c:v>
                </c:pt>
                <c:pt idx="16">
                  <c:v>-0.75045329498420177</c:v>
                </c:pt>
                <c:pt idx="17">
                  <c:v>-0.22527027284986298</c:v>
                </c:pt>
                <c:pt idx="18">
                  <c:v>0.32963229415078033</c:v>
                </c:pt>
                <c:pt idx="19">
                  <c:v>-0.57491116801666586</c:v>
                </c:pt>
                <c:pt idx="20">
                  <c:v>1.2120063502146226</c:v>
                </c:pt>
                <c:pt idx="21">
                  <c:v>-1.3155410897771942</c:v>
                </c:pt>
                <c:pt idx="22">
                  <c:v>-0.42750133943372565</c:v>
                </c:pt>
                <c:pt idx="23">
                  <c:v>-0.3289014131533427</c:v>
                </c:pt>
                <c:pt idx="24">
                  <c:v>-0.24909615451148323</c:v>
                </c:pt>
                <c:pt idx="25">
                  <c:v>-0.63882469476095172</c:v>
                </c:pt>
                <c:pt idx="26">
                  <c:v>0.62023998631943844</c:v>
                </c:pt>
                <c:pt idx="27">
                  <c:v>0.46591629752218566</c:v>
                </c:pt>
                <c:pt idx="28">
                  <c:v>0.61971906472454641</c:v>
                </c:pt>
                <c:pt idx="29">
                  <c:v>1.140542139115637</c:v>
                </c:pt>
                <c:pt idx="30">
                  <c:v>0.93647032721182855</c:v>
                </c:pt>
                <c:pt idx="31">
                  <c:v>0.41718507634202529</c:v>
                </c:pt>
                <c:pt idx="32">
                  <c:v>0.4879467855865216</c:v>
                </c:pt>
                <c:pt idx="33">
                  <c:v>0.38160185706401645</c:v>
                </c:pt>
                <c:pt idx="34">
                  <c:v>0.5361629459329168</c:v>
                </c:pt>
                <c:pt idx="35">
                  <c:v>0.78320595770334067</c:v>
                </c:pt>
                <c:pt idx="36">
                  <c:v>-0.26233025233585189</c:v>
                </c:pt>
                <c:pt idx="37">
                  <c:v>0.24130401135545732</c:v>
                </c:pt>
                <c:pt idx="38">
                  <c:v>0.30058482796767827</c:v>
                </c:pt>
                <c:pt idx="39">
                  <c:v>0.13282756028352796</c:v>
                </c:pt>
                <c:pt idx="40">
                  <c:v>0.29244056820479636</c:v>
                </c:pt>
                <c:pt idx="41">
                  <c:v>0.3271151509045917</c:v>
                </c:pt>
                <c:pt idx="42">
                  <c:v>0.3086517513589726</c:v>
                </c:pt>
                <c:pt idx="43">
                  <c:v>-2.9543173117885981E-2</c:v>
                </c:pt>
                <c:pt idx="44">
                  <c:v>-0.2644800157829022</c:v>
                </c:pt>
                <c:pt idx="45">
                  <c:v>0.37156440997753709</c:v>
                </c:pt>
                <c:pt idx="46">
                  <c:v>0.6382000575256539</c:v>
                </c:pt>
                <c:pt idx="47">
                  <c:v>0.88021766767303911</c:v>
                </c:pt>
                <c:pt idx="48">
                  <c:v>0.16499581192369514</c:v>
                </c:pt>
                <c:pt idx="49">
                  <c:v>0.9670693615783823</c:v>
                </c:pt>
                <c:pt idx="50">
                  <c:v>0.58750430427597855</c:v>
                </c:pt>
                <c:pt idx="51">
                  <c:v>0.40589213454364403</c:v>
                </c:pt>
                <c:pt idx="52">
                  <c:v>0.99213198792740653</c:v>
                </c:pt>
                <c:pt idx="53">
                  <c:v>-0.15928272194653614</c:v>
                </c:pt>
                <c:pt idx="54">
                  <c:v>0.53616635280721314</c:v>
                </c:pt>
                <c:pt idx="55">
                  <c:v>1.2524238535774461</c:v>
                </c:pt>
                <c:pt idx="56">
                  <c:v>0.28462506253243408</c:v>
                </c:pt>
                <c:pt idx="57">
                  <c:v>0.37051931181151437</c:v>
                </c:pt>
                <c:pt idx="58">
                  <c:v>1.1308937526357103</c:v>
                </c:pt>
                <c:pt idx="59">
                  <c:v>5.6335159706185307E-2</c:v>
                </c:pt>
                <c:pt idx="60">
                  <c:v>0.59412879474924074</c:v>
                </c:pt>
                <c:pt idx="61">
                  <c:v>0.52065187921243494</c:v>
                </c:pt>
                <c:pt idx="62">
                  <c:v>0.53898830243529749</c:v>
                </c:pt>
                <c:pt idx="63">
                  <c:v>0.22003782640046091</c:v>
                </c:pt>
                <c:pt idx="64">
                  <c:v>-0.2630056985514892</c:v>
                </c:pt>
                <c:pt idx="65">
                  <c:v>0.53782767137136533</c:v>
                </c:pt>
                <c:pt idx="66">
                  <c:v>-0.1410655277476173</c:v>
                </c:pt>
                <c:pt idx="67">
                  <c:v>-0.16957796418743373</c:v>
                </c:pt>
                <c:pt idx="68">
                  <c:v>0.12772253161750466</c:v>
                </c:pt>
                <c:pt idx="69">
                  <c:v>-1.5240307171030365E-2</c:v>
                </c:pt>
                <c:pt idx="70">
                  <c:v>0.66973116763106622</c:v>
                </c:pt>
                <c:pt idx="71">
                  <c:v>-0.33654310188691072</c:v>
                </c:pt>
                <c:pt idx="72">
                  <c:v>0.22329356500888867</c:v>
                </c:pt>
                <c:pt idx="73">
                  <c:v>-4.9349354117742231E-2</c:v>
                </c:pt>
                <c:pt idx="74">
                  <c:v>0.18882234832866182</c:v>
                </c:pt>
                <c:pt idx="75">
                  <c:v>-0.30692299283682878</c:v>
                </c:pt>
                <c:pt idx="76">
                  <c:v>0.2763108026533474</c:v>
                </c:pt>
                <c:pt idx="77">
                  <c:v>-0.20453174780426522</c:v>
                </c:pt>
                <c:pt idx="78">
                  <c:v>0.24479441378991568</c:v>
                </c:pt>
                <c:pt idx="79">
                  <c:v>9.360090103431383E-2</c:v>
                </c:pt>
                <c:pt idx="80">
                  <c:v>-0.38738166725945355</c:v>
                </c:pt>
                <c:pt idx="81">
                  <c:v>0.4533883530296815</c:v>
                </c:pt>
                <c:pt idx="82">
                  <c:v>4.1291415716732699E-2</c:v>
                </c:pt>
                <c:pt idx="83">
                  <c:v>-0.60062060462401923</c:v>
                </c:pt>
                <c:pt idx="84">
                  <c:v>0.10313163325389231</c:v>
                </c:pt>
                <c:pt idx="85">
                  <c:v>0.65134480919688531</c:v>
                </c:pt>
                <c:pt idx="86">
                  <c:v>-0.13388746717262745</c:v>
                </c:pt>
                <c:pt idx="87">
                  <c:v>0.14469988712867149</c:v>
                </c:pt>
                <c:pt idx="88">
                  <c:v>-0.38519056962079118</c:v>
                </c:pt>
                <c:pt idx="89">
                  <c:v>6.4296570125150318E-2</c:v>
                </c:pt>
                <c:pt idx="90">
                  <c:v>0.43546915859643437</c:v>
                </c:pt>
                <c:pt idx="91">
                  <c:v>0.71580069587516848</c:v>
                </c:pt>
                <c:pt idx="92">
                  <c:v>-0.12296281561426302</c:v>
                </c:pt>
                <c:pt idx="93">
                  <c:v>0.12201417698105513</c:v>
                </c:pt>
                <c:pt idx="94">
                  <c:v>-0.14960970450560707</c:v>
                </c:pt>
                <c:pt idx="95">
                  <c:v>8.3852009314191581E-2</c:v>
                </c:pt>
                <c:pt idx="96">
                  <c:v>-1.6734417313617786E-2</c:v>
                </c:pt>
                <c:pt idx="97">
                  <c:v>-7.3364239025313055E-2</c:v>
                </c:pt>
                <c:pt idx="98">
                  <c:v>1.7457801330526956</c:v>
                </c:pt>
                <c:pt idx="99">
                  <c:v>-1.1264288154842146</c:v>
                </c:pt>
                <c:pt idx="100">
                  <c:v>-0.25400658803587911</c:v>
                </c:pt>
                <c:pt idx="101">
                  <c:v>0.19317501334095782</c:v>
                </c:pt>
                <c:pt idx="102">
                  <c:v>-0.40462537703287521</c:v>
                </c:pt>
                <c:pt idx="103">
                  <c:v>-0.12967984470486332</c:v>
                </c:pt>
                <c:pt idx="104">
                  <c:v>0.21650857087995379</c:v>
                </c:pt>
                <c:pt idx="105">
                  <c:v>5.0814755273108608E-2</c:v>
                </c:pt>
                <c:pt idx="106">
                  <c:v>0.27211347034723837</c:v>
                </c:pt>
                <c:pt idx="107">
                  <c:v>0.90381580097052605</c:v>
                </c:pt>
                <c:pt idx="108">
                  <c:v>-1.9266025001976439E-2</c:v>
                </c:pt>
                <c:pt idx="109">
                  <c:v>0.7072177471504183</c:v>
                </c:pt>
                <c:pt idx="110">
                  <c:v>5.86535044725097E-2</c:v>
                </c:pt>
                <c:pt idx="111">
                  <c:v>0.1391358245584271</c:v>
                </c:pt>
                <c:pt idx="112">
                  <c:v>0.15054542570776927</c:v>
                </c:pt>
                <c:pt idx="113">
                  <c:v>0.44458091001263028</c:v>
                </c:pt>
                <c:pt idx="114">
                  <c:v>-1.7243014325901034</c:v>
                </c:pt>
                <c:pt idx="115">
                  <c:v>-0.46429358757350642</c:v>
                </c:pt>
                <c:pt idx="116">
                  <c:v>-1.4837336133344114</c:v>
                </c:pt>
                <c:pt idx="117">
                  <c:v>-1.232904497402014</c:v>
                </c:pt>
                <c:pt idx="118">
                  <c:v>-0.95349876334177597</c:v>
                </c:pt>
                <c:pt idx="119">
                  <c:v>-0.22491997747653283</c:v>
                </c:pt>
                <c:pt idx="120">
                  <c:v>0.31056099650255181</c:v>
                </c:pt>
                <c:pt idx="121">
                  <c:v>4.8684579423959775</c:v>
                </c:pt>
                <c:pt idx="122">
                  <c:v>-1.8915092936324464E-2</c:v>
                </c:pt>
                <c:pt idx="123">
                  <c:v>-0.79411370357598432</c:v>
                </c:pt>
                <c:pt idx="124">
                  <c:v>-1.2308351231127379</c:v>
                </c:pt>
                <c:pt idx="125">
                  <c:v>0.48686974018692153</c:v>
                </c:pt>
                <c:pt idx="126">
                  <c:v>-1.7165685200928618</c:v>
                </c:pt>
                <c:pt idx="127">
                  <c:v>-1.7003348726217964</c:v>
                </c:pt>
                <c:pt idx="128">
                  <c:v>0.215161759568265</c:v>
                </c:pt>
                <c:pt idx="129">
                  <c:v>-0.8288118268367467</c:v>
                </c:pt>
                <c:pt idx="130">
                  <c:v>-0.985894604821141</c:v>
                </c:pt>
                <c:pt idx="131">
                  <c:v>-0.70726774238909618</c:v>
                </c:pt>
                <c:pt idx="132">
                  <c:v>0.19396719591330477</c:v>
                </c:pt>
                <c:pt idx="133">
                  <c:v>-1.0952617898802726</c:v>
                </c:pt>
                <c:pt idx="134">
                  <c:v>-0.95546637549969582</c:v>
                </c:pt>
                <c:pt idx="135">
                  <c:v>-1.3062282995860626</c:v>
                </c:pt>
                <c:pt idx="136">
                  <c:v>0.24077214497612301</c:v>
                </c:pt>
                <c:pt idx="137">
                  <c:v>-2.4138949798826639</c:v>
                </c:pt>
                <c:pt idx="138">
                  <c:v>-1.1307642210783861</c:v>
                </c:pt>
                <c:pt idx="139">
                  <c:v>-1.2804572040668565</c:v>
                </c:pt>
                <c:pt idx="140">
                  <c:v>-1.6789921147609563</c:v>
                </c:pt>
                <c:pt idx="141">
                  <c:v>-1.4951905085215969</c:v>
                </c:pt>
                <c:pt idx="142">
                  <c:v>-0.99221520670889407</c:v>
                </c:pt>
                <c:pt idx="143">
                  <c:v>4.8855256138076957</c:v>
                </c:pt>
                <c:pt idx="144">
                  <c:v>-8.3733082318001556E-2</c:v>
                </c:pt>
                <c:pt idx="145">
                  <c:v>-0.80763987609510368</c:v>
                </c:pt>
                <c:pt idx="146">
                  <c:v>-0.61979275109889231</c:v>
                </c:pt>
                <c:pt idx="147">
                  <c:v>-1.1735510308130341</c:v>
                </c:pt>
                <c:pt idx="148">
                  <c:v>-0.99678506849005599</c:v>
                </c:pt>
                <c:pt idx="149">
                  <c:v>-1.1326383882171751</c:v>
                </c:pt>
                <c:pt idx="150">
                  <c:v>-1.0140834526234823</c:v>
                </c:pt>
                <c:pt idx="151">
                  <c:v>-1.1050984286183789</c:v>
                </c:pt>
                <c:pt idx="152">
                  <c:v>-0.58442858109603402</c:v>
                </c:pt>
                <c:pt idx="153">
                  <c:v>4.8359149910389538</c:v>
                </c:pt>
                <c:pt idx="154">
                  <c:v>-1.0449954142890452</c:v>
                </c:pt>
                <c:pt idx="155">
                  <c:v>-0.92148132763689028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42-9440-AE06-EE1E1535F2CE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9.1311691895597491</c:v>
              </c:pt>
            </c:numLit>
          </c:xVal>
          <c:yVal>
            <c:numLit>
              <c:formatCode>General</c:formatCode>
              <c:ptCount val="1"/>
              <c:pt idx="0">
                <c:v>-0.64024943669897461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442-9440-AE06-EE1E1535F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372239"/>
        <c:axId val="2022510783"/>
      </c:scatterChart>
      <c:valAx>
        <c:axId val="2022372239"/>
        <c:scaling>
          <c:orientation val="minMax"/>
          <c:max val="11.5"/>
          <c:min val="8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Pred(Ln(UVolTomb))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022510783"/>
        <c:crosses val="autoZero"/>
        <c:crossBetween val="midCat"/>
      </c:valAx>
      <c:valAx>
        <c:axId val="2022510783"/>
        <c:scaling>
          <c:orientation val="minMax"/>
          <c:max val="5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2237223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Pred(Ln(UVolTomb)) - Ln(UVolTomb)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'Regr-SalesTomb'!$E$115:$E$270</c:f>
              <c:numCache>
                <c:formatCode>0.000</c:formatCode>
                <c:ptCount val="156"/>
                <c:pt idx="0">
                  <c:v>9.1421923820469626</c:v>
                </c:pt>
                <c:pt idx="1">
                  <c:v>9.1311691895597491</c:v>
                </c:pt>
                <c:pt idx="2">
                  <c:v>9.0436222955827823</c:v>
                </c:pt>
                <c:pt idx="3">
                  <c:v>9.091834569626819</c:v>
                </c:pt>
                <c:pt idx="4">
                  <c:v>9.0887880050999108</c:v>
                </c:pt>
                <c:pt idx="5">
                  <c:v>9.1537119191861027</c:v>
                </c:pt>
                <c:pt idx="6">
                  <c:v>10.98741166646742</c:v>
                </c:pt>
                <c:pt idx="7">
                  <c:v>9.1190991796215712</c:v>
                </c:pt>
                <c:pt idx="8">
                  <c:v>9.1024188092788361</c:v>
                </c:pt>
                <c:pt idx="9">
                  <c:v>9.1324391836491028</c:v>
                </c:pt>
                <c:pt idx="10">
                  <c:v>10.784797014809595</c:v>
                </c:pt>
                <c:pt idx="11">
                  <c:v>9.1351801897004048</c:v>
                </c:pt>
                <c:pt idx="12">
                  <c:v>9.1395726735508056</c:v>
                </c:pt>
                <c:pt idx="13">
                  <c:v>9.0606127605342923</c:v>
                </c:pt>
                <c:pt idx="14">
                  <c:v>9.1166018892967777</c:v>
                </c:pt>
                <c:pt idx="15">
                  <c:v>9.345964061033639</c:v>
                </c:pt>
                <c:pt idx="16">
                  <c:v>9.1537442252421108</c:v>
                </c:pt>
                <c:pt idx="17">
                  <c:v>9.0867529859763145</c:v>
                </c:pt>
                <c:pt idx="18">
                  <c:v>9.8415773361171688</c:v>
                </c:pt>
                <c:pt idx="19">
                  <c:v>9.1597222361928363</c:v>
                </c:pt>
                <c:pt idx="20">
                  <c:v>9.8089474138209383</c:v>
                </c:pt>
                <c:pt idx="21">
                  <c:v>9.162964987895414</c:v>
                </c:pt>
                <c:pt idx="22">
                  <c:v>9.0573760658217015</c:v>
                </c:pt>
                <c:pt idx="23">
                  <c:v>9.1174268427271219</c:v>
                </c:pt>
                <c:pt idx="24">
                  <c:v>9.1720116287730864</c:v>
                </c:pt>
                <c:pt idx="25">
                  <c:v>9.0975290505471111</c:v>
                </c:pt>
                <c:pt idx="26">
                  <c:v>9.890991110223613</c:v>
                </c:pt>
                <c:pt idx="27">
                  <c:v>8.7533074956414154</c:v>
                </c:pt>
                <c:pt idx="28">
                  <c:v>8.8574776867769796</c:v>
                </c:pt>
                <c:pt idx="29">
                  <c:v>9.9077364768222989</c:v>
                </c:pt>
                <c:pt idx="30">
                  <c:v>8.7954231988917542</c:v>
                </c:pt>
                <c:pt idx="31">
                  <c:v>8.8534520357279547</c:v>
                </c:pt>
                <c:pt idx="32">
                  <c:v>8.894113066526252</c:v>
                </c:pt>
                <c:pt idx="33">
                  <c:v>8.687699999109153</c:v>
                </c:pt>
                <c:pt idx="34">
                  <c:v>8.7974369569513229</c:v>
                </c:pt>
                <c:pt idx="35">
                  <c:v>9.9316000890491765</c:v>
                </c:pt>
                <c:pt idx="36">
                  <c:v>9.0180066352767678</c:v>
                </c:pt>
                <c:pt idx="37">
                  <c:v>8.8121913272915968</c:v>
                </c:pt>
                <c:pt idx="38">
                  <c:v>8.7621591262827359</c:v>
                </c:pt>
                <c:pt idx="39">
                  <c:v>8.8606628198119726</c:v>
                </c:pt>
                <c:pt idx="40">
                  <c:v>8.9000892345368694</c:v>
                </c:pt>
                <c:pt idx="41">
                  <c:v>8.854362393165971</c:v>
                </c:pt>
                <c:pt idx="42">
                  <c:v>8.7571810706275919</c:v>
                </c:pt>
                <c:pt idx="43">
                  <c:v>8.8316623970996737</c:v>
                </c:pt>
                <c:pt idx="44">
                  <c:v>10.141062852841511</c:v>
                </c:pt>
                <c:pt idx="45">
                  <c:v>8.8222659841415521</c:v>
                </c:pt>
                <c:pt idx="46">
                  <c:v>8.6368660542204125</c:v>
                </c:pt>
                <c:pt idx="47">
                  <c:v>8.6337099936238779</c:v>
                </c:pt>
                <c:pt idx="48">
                  <c:v>8.8950746404811483</c:v>
                </c:pt>
                <c:pt idx="49">
                  <c:v>8.5113237288026991</c:v>
                </c:pt>
                <c:pt idx="50">
                  <c:v>8.7814413539836362</c:v>
                </c:pt>
                <c:pt idx="51">
                  <c:v>8.8503937694485977</c:v>
                </c:pt>
                <c:pt idx="52">
                  <c:v>9.9674462667011454</c:v>
                </c:pt>
                <c:pt idx="53">
                  <c:v>9.0396091061843293</c:v>
                </c:pt>
                <c:pt idx="54">
                  <c:v>8.719515198899046</c:v>
                </c:pt>
                <c:pt idx="55">
                  <c:v>9.8324767365690935</c:v>
                </c:pt>
                <c:pt idx="56">
                  <c:v>8.9984757405170619</c:v>
                </c:pt>
                <c:pt idx="57">
                  <c:v>8.9076316764724162</c:v>
                </c:pt>
                <c:pt idx="58">
                  <c:v>8.7928353214102515</c:v>
                </c:pt>
                <c:pt idx="59">
                  <c:v>8.9484413864221217</c:v>
                </c:pt>
                <c:pt idx="60">
                  <c:v>8.9110431438140623</c:v>
                </c:pt>
                <c:pt idx="61">
                  <c:v>8.7967015101100667</c:v>
                </c:pt>
                <c:pt idx="62">
                  <c:v>8.8955305807763008</c:v>
                </c:pt>
                <c:pt idx="63">
                  <c:v>10.827657450460636</c:v>
                </c:pt>
                <c:pt idx="64">
                  <c:v>9.197151678396521</c:v>
                </c:pt>
                <c:pt idx="65">
                  <c:v>8.7298117218911742</c:v>
                </c:pt>
                <c:pt idx="66">
                  <c:v>8.9074882015234778</c:v>
                </c:pt>
                <c:pt idx="67">
                  <c:v>8.9130893986234963</c:v>
                </c:pt>
                <c:pt idx="68">
                  <c:v>9.0658205709928463</c:v>
                </c:pt>
                <c:pt idx="69">
                  <c:v>8.8034262723815271</c:v>
                </c:pt>
                <c:pt idx="70">
                  <c:v>9.9998094225572238</c:v>
                </c:pt>
                <c:pt idx="71">
                  <c:v>8.8872767578208709</c:v>
                </c:pt>
                <c:pt idx="72">
                  <c:v>8.6817866476803971</c:v>
                </c:pt>
                <c:pt idx="73">
                  <c:v>8.8452278635538768</c:v>
                </c:pt>
                <c:pt idx="74">
                  <c:v>8.8273568331538854</c:v>
                </c:pt>
                <c:pt idx="75">
                  <c:v>8.785531180210997</c:v>
                </c:pt>
                <c:pt idx="76">
                  <c:v>9.9842314107723809</c:v>
                </c:pt>
                <c:pt idx="77">
                  <c:v>8.9168253886624811</c:v>
                </c:pt>
                <c:pt idx="78">
                  <c:v>8.8158123387433065</c:v>
                </c:pt>
                <c:pt idx="79">
                  <c:v>8.8308809401305997</c:v>
                </c:pt>
                <c:pt idx="80">
                  <c:v>8.9062189838468804</c:v>
                </c:pt>
                <c:pt idx="81">
                  <c:v>9.932541373016857</c:v>
                </c:pt>
                <c:pt idx="82">
                  <c:v>8.9263574103219714</c:v>
                </c:pt>
                <c:pt idx="83">
                  <c:v>8.9288476573348312</c:v>
                </c:pt>
                <c:pt idx="84">
                  <c:v>8.8626076313848046</c:v>
                </c:pt>
                <c:pt idx="85">
                  <c:v>10.001337914235013</c:v>
                </c:pt>
                <c:pt idx="86">
                  <c:v>9.0004502183660229</c:v>
                </c:pt>
                <c:pt idx="87">
                  <c:v>8.7919438347511196</c:v>
                </c:pt>
                <c:pt idx="88">
                  <c:v>8.8640298854880406</c:v>
                </c:pt>
                <c:pt idx="89">
                  <c:v>8.7156808259649488</c:v>
                </c:pt>
                <c:pt idx="90">
                  <c:v>8.7753551553798594</c:v>
                </c:pt>
                <c:pt idx="91">
                  <c:v>9.9652547785109942</c:v>
                </c:pt>
                <c:pt idx="92">
                  <c:v>9.0015410707240555</c:v>
                </c:pt>
                <c:pt idx="93">
                  <c:v>8.8679537125329837</c:v>
                </c:pt>
                <c:pt idx="94">
                  <c:v>8.8132455564740049</c:v>
                </c:pt>
                <c:pt idx="95">
                  <c:v>8.7704214133436267</c:v>
                </c:pt>
                <c:pt idx="96">
                  <c:v>8.669512322985371</c:v>
                </c:pt>
                <c:pt idx="97">
                  <c:v>8.873311986865156</c:v>
                </c:pt>
                <c:pt idx="98">
                  <c:v>10.726281563622928</c:v>
                </c:pt>
                <c:pt idx="99">
                  <c:v>9.3698027539208439</c:v>
                </c:pt>
                <c:pt idx="100">
                  <c:v>8.8419013947995353</c:v>
                </c:pt>
                <c:pt idx="101">
                  <c:v>8.6506223704770022</c:v>
                </c:pt>
                <c:pt idx="102">
                  <c:v>8.7927834054806535</c:v>
                </c:pt>
                <c:pt idx="103">
                  <c:v>8.8189827935111591</c:v>
                </c:pt>
                <c:pt idx="104">
                  <c:v>8.8800915385787285</c:v>
                </c:pt>
                <c:pt idx="105">
                  <c:v>8.857088295337185</c:v>
                </c:pt>
                <c:pt idx="106">
                  <c:v>8.7613454620318656</c:v>
                </c:pt>
                <c:pt idx="107">
                  <c:v>9.9548167955453106</c:v>
                </c:pt>
                <c:pt idx="108">
                  <c:v>8.9615366240115346</c:v>
                </c:pt>
                <c:pt idx="109">
                  <c:v>8.8428641269750194</c:v>
                </c:pt>
                <c:pt idx="110">
                  <c:v>8.9375383982164323</c:v>
                </c:pt>
                <c:pt idx="111">
                  <c:v>8.8849179430788716</c:v>
                </c:pt>
                <c:pt idx="112">
                  <c:v>8.8396716901768535</c:v>
                </c:pt>
                <c:pt idx="113">
                  <c:v>9.9767990178097783</c:v>
                </c:pt>
                <c:pt idx="114">
                  <c:v>9.3970160650825427</c:v>
                </c:pt>
                <c:pt idx="115">
                  <c:v>10.693579276328595</c:v>
                </c:pt>
                <c:pt idx="116">
                  <c:v>9.5806494322978502</c:v>
                </c:pt>
                <c:pt idx="117">
                  <c:v>9.2739078759121121</c:v>
                </c:pt>
                <c:pt idx="118">
                  <c:v>9.0851669429233191</c:v>
                </c:pt>
                <c:pt idx="119">
                  <c:v>8.4491535761854113</c:v>
                </c:pt>
                <c:pt idx="120">
                  <c:v>8.4750311423009919</c:v>
                </c:pt>
                <c:pt idx="121">
                  <c:v>9.2225033205701692</c:v>
                </c:pt>
                <c:pt idx="122">
                  <c:v>8.696831722069696</c:v>
                </c:pt>
                <c:pt idx="123">
                  <c:v>9.0591623997987902</c:v>
                </c:pt>
                <c:pt idx="124">
                  <c:v>9.2015376650300578</c:v>
                </c:pt>
                <c:pt idx="125">
                  <c:v>9.9726977054487644</c:v>
                </c:pt>
                <c:pt idx="126">
                  <c:v>9.2962883422076459</c:v>
                </c:pt>
                <c:pt idx="127">
                  <c:v>9.3288263793824626</c:v>
                </c:pt>
                <c:pt idx="128">
                  <c:v>9.9998550036656972</c:v>
                </c:pt>
                <c:pt idx="129">
                  <c:v>9.2032355463861801</c:v>
                </c:pt>
                <c:pt idx="130">
                  <c:v>9.113086706300523</c:v>
                </c:pt>
                <c:pt idx="131">
                  <c:v>9.172444605298951</c:v>
                </c:pt>
                <c:pt idx="132">
                  <c:v>9.9734341235848056</c:v>
                </c:pt>
                <c:pt idx="133">
                  <c:v>9.3036467999635661</c:v>
                </c:pt>
                <c:pt idx="134">
                  <c:v>9.269995949540041</c:v>
                </c:pt>
                <c:pt idx="135">
                  <c:v>9.3688804037337032</c:v>
                </c:pt>
                <c:pt idx="136">
                  <c:v>11.031236229434247</c:v>
                </c:pt>
                <c:pt idx="137">
                  <c:v>9.5841207158651045</c:v>
                </c:pt>
                <c:pt idx="138">
                  <c:v>9.1528363333043696</c:v>
                </c:pt>
                <c:pt idx="139">
                  <c:v>10.680401946947329</c:v>
                </c:pt>
                <c:pt idx="140">
                  <c:v>9.3682155936255285</c:v>
                </c:pt>
                <c:pt idx="141">
                  <c:v>9.1059325407497091</c:v>
                </c:pt>
                <c:pt idx="142">
                  <c:v>8.6573533249824273</c:v>
                </c:pt>
                <c:pt idx="143">
                  <c:v>9.138296509778403</c:v>
                </c:pt>
                <c:pt idx="144">
                  <c:v>8.669323435107696</c:v>
                </c:pt>
                <c:pt idx="145">
                  <c:v>8.8027562691246537</c:v>
                </c:pt>
                <c:pt idx="146">
                  <c:v>10.621065943944874</c:v>
                </c:pt>
                <c:pt idx="147">
                  <c:v>9.2746208227909612</c:v>
                </c:pt>
                <c:pt idx="148">
                  <c:v>9.176775638743802</c:v>
                </c:pt>
                <c:pt idx="149">
                  <c:v>10.754723356899857</c:v>
                </c:pt>
                <c:pt idx="150">
                  <c:v>9.3941881455834064</c:v>
                </c:pt>
                <c:pt idx="151">
                  <c:v>9.3479593400735936</c:v>
                </c:pt>
                <c:pt idx="152">
                  <c:v>8.6013573876117473</c:v>
                </c:pt>
                <c:pt idx="153">
                  <c:v>9.1850129692832212</c:v>
                </c:pt>
                <c:pt idx="154">
                  <c:v>9.9379625133484168</c:v>
                </c:pt>
                <c:pt idx="155">
                  <c:v>9.1820741854303858</c:v>
                </c:pt>
              </c:numCache>
            </c:numRef>
          </c:xVal>
          <c:yVal>
            <c:numRef>
              <c:f>'Regr-SalesTomb'!$D$115:$D$270</c:f>
              <c:numCache>
                <c:formatCode>0.000</c:formatCode>
                <c:ptCount val="156"/>
                <c:pt idx="0">
                  <c:v>9.1575723064375278</c:v>
                </c:pt>
                <c:pt idx="1">
                  <c:v>8.9159693113736047</c:v>
                </c:pt>
                <c:pt idx="2">
                  <c:v>8.9998662237626359</c:v>
                </c:pt>
                <c:pt idx="3">
                  <c:v>9.1016409550528419</c:v>
                </c:pt>
                <c:pt idx="4">
                  <c:v>9.1210719042180006</c:v>
                </c:pt>
                <c:pt idx="5">
                  <c:v>9.1160296925049416</c:v>
                </c:pt>
                <c:pt idx="6">
                  <c:v>11.180287866716585</c:v>
                </c:pt>
                <c:pt idx="7">
                  <c:v>9.4476234868441118</c:v>
                </c:pt>
                <c:pt idx="8">
                  <c:v>9.1764733024646059</c:v>
                </c:pt>
                <c:pt idx="9">
                  <c:v>9.2763153608997158</c:v>
                </c:pt>
                <c:pt idx="10">
                  <c:v>11.064996390042804</c:v>
                </c:pt>
                <c:pt idx="11">
                  <c:v>9.0261771203028562</c:v>
                </c:pt>
                <c:pt idx="12">
                  <c:v>9.0336031934761287</c:v>
                </c:pt>
                <c:pt idx="13">
                  <c:v>8.8764049150069404</c:v>
                </c:pt>
                <c:pt idx="14">
                  <c:v>8.9029996618612177</c:v>
                </c:pt>
                <c:pt idx="15">
                  <c:v>9.2699291633878396</c:v>
                </c:pt>
                <c:pt idx="16">
                  <c:v>8.9015027574516097</c:v>
                </c:pt>
                <c:pt idx="17">
                  <c:v>9.0110354101418153</c:v>
                </c:pt>
                <c:pt idx="18">
                  <c:v>9.9523729502659393</c:v>
                </c:pt>
                <c:pt idx="19">
                  <c:v>8.9664837790644309</c:v>
                </c:pt>
                <c:pt idx="20">
                  <c:v>10.216325544869028</c:v>
                </c:pt>
                <c:pt idx="21">
                  <c:v>8.7207868834857312</c:v>
                </c:pt>
                <c:pt idx="22">
                  <c:v>8.9136848247252942</c:v>
                </c:pt>
                <c:pt idx="23">
                  <c:v>9.0068768914287993</c:v>
                </c:pt>
                <c:pt idx="24">
                  <c:v>9.088285725968877</c:v>
                </c:pt>
                <c:pt idx="25">
                  <c:v>8.8828080549244408</c:v>
                </c:pt>
                <c:pt idx="26">
                  <c:v>10.099465435777569</c:v>
                </c:pt>
                <c:pt idx="27">
                  <c:v>8.9099107267018987</c:v>
                </c:pt>
                <c:pt idx="28">
                  <c:v>9.0657769207848293</c:v>
                </c:pt>
                <c:pt idx="29">
                  <c:v>10.291094142342979</c:v>
                </c:pt>
                <c:pt idx="30">
                  <c:v>9.1101884900257417</c:v>
                </c:pt>
                <c:pt idx="31">
                  <c:v>8.9936757867596828</c:v>
                </c:pt>
                <c:pt idx="32">
                  <c:v>9.0581211589986719</c:v>
                </c:pt>
                <c:pt idx="33">
                  <c:v>8.8159635608534384</c:v>
                </c:pt>
                <c:pt idx="34">
                  <c:v>8.977651407818442</c:v>
                </c:pt>
                <c:pt idx="35">
                  <c:v>10.194850342827481</c:v>
                </c:pt>
                <c:pt idx="36">
                  <c:v>8.9298325032724026</c:v>
                </c:pt>
                <c:pt idx="37">
                  <c:v>8.8932981442179155</c:v>
                </c:pt>
                <c:pt idx="38">
                  <c:v>8.8631913406908538</c:v>
                </c:pt>
                <c:pt idx="39">
                  <c:v>8.905308661189288</c:v>
                </c:pt>
                <c:pt idx="40">
                  <c:v>8.9983840100525381</c:v>
                </c:pt>
                <c:pt idx="41">
                  <c:v>8.9643119481245144</c:v>
                </c:pt>
                <c:pt idx="42">
                  <c:v>8.8609247297190414</c:v>
                </c:pt>
                <c:pt idx="43">
                  <c:v>8.8217323809344421</c:v>
                </c:pt>
                <c:pt idx="44">
                  <c:v>10.05216614490749</c:v>
                </c:pt>
                <c:pt idx="45">
                  <c:v>8.9471557711247893</c:v>
                </c:pt>
                <c:pt idx="46">
                  <c:v>8.851377097519439</c:v>
                </c:pt>
                <c:pt idx="47">
                  <c:v>8.9295677078253366</c:v>
                </c:pt>
                <c:pt idx="48">
                  <c:v>8.9505328362903818</c:v>
                </c:pt>
                <c:pt idx="49">
                  <c:v>8.8363739309273885</c:v>
                </c:pt>
                <c:pt idx="50">
                  <c:v>8.9789126010742759</c:v>
                </c:pt>
                <c:pt idx="51">
                  <c:v>8.9868217503318899</c:v>
                </c:pt>
                <c:pt idx="52">
                  <c:v>10.300920488947028</c:v>
                </c:pt>
                <c:pt idx="53">
                  <c:v>8.9860711873744634</c:v>
                </c:pt>
                <c:pt idx="54">
                  <c:v>8.8997307948806963</c:v>
                </c:pt>
                <c:pt idx="55">
                  <c:v>10.253439950714034</c:v>
                </c:pt>
                <c:pt idx="56">
                  <c:v>9.0941435775736714</c:v>
                </c:pt>
                <c:pt idx="57">
                  <c:v>9.0321701863047039</c:v>
                </c:pt>
                <c:pt idx="58">
                  <c:v>9.1729499827576237</c:v>
                </c:pt>
                <c:pt idx="59">
                  <c:v>8.9673766932126657</c:v>
                </c:pt>
                <c:pt idx="60">
                  <c:v>9.1107410067534271</c:v>
                </c:pt>
                <c:pt idx="61">
                  <c:v>8.9717023997033252</c:v>
                </c:pt>
                <c:pt idx="62">
                  <c:v>9.076694687106265</c:v>
                </c:pt>
                <c:pt idx="63">
                  <c:v>10.901616302625916</c:v>
                </c:pt>
                <c:pt idx="64">
                  <c:v>9.108750516214549</c:v>
                </c:pt>
                <c:pt idx="65">
                  <c:v>8.9105857182901325</c:v>
                </c:pt>
                <c:pt idx="66">
                  <c:v>8.8600734243327803</c:v>
                </c:pt>
                <c:pt idx="67">
                  <c:v>8.8560910552522891</c:v>
                </c:pt>
                <c:pt idx="68">
                  <c:v>9.108750516214549</c:v>
                </c:pt>
                <c:pt idx="69">
                  <c:v>8.7983037184849788</c:v>
                </c:pt>
                <c:pt idx="70">
                  <c:v>10.224918665034282</c:v>
                </c:pt>
                <c:pt idx="71">
                  <c:v>8.774158291205957</c:v>
                </c:pt>
                <c:pt idx="72">
                  <c:v>8.7568398148294619</c:v>
                </c:pt>
                <c:pt idx="73">
                  <c:v>8.8286406174182801</c:v>
                </c:pt>
                <c:pt idx="74">
                  <c:v>8.890823576004383</c:v>
                </c:pt>
                <c:pt idx="75">
                  <c:v>8.6823685893752209</c:v>
                </c:pt>
                <c:pt idx="76">
                  <c:v>10.077104668699937</c:v>
                </c:pt>
                <c:pt idx="77">
                  <c:v>8.8480784211686672</c:v>
                </c:pt>
                <c:pt idx="78">
                  <c:v>8.898092345579153</c:v>
                </c:pt>
                <c:pt idx="79">
                  <c:v>8.8623419635163465</c:v>
                </c:pt>
                <c:pt idx="80">
                  <c:v>8.7760127191829174</c:v>
                </c:pt>
                <c:pt idx="81">
                  <c:v>10.084933726294128</c:v>
                </c:pt>
                <c:pt idx="82">
                  <c:v>8.9402362317984707</c:v>
                </c:pt>
                <c:pt idx="83">
                  <c:v>8.7269677749914933</c:v>
                </c:pt>
                <c:pt idx="84">
                  <c:v>8.8972721131339867</c:v>
                </c:pt>
                <c:pt idx="85">
                  <c:v>10.220267155811605</c:v>
                </c:pt>
                <c:pt idx="86">
                  <c:v>8.9554481223473932</c:v>
                </c:pt>
                <c:pt idx="87">
                  <c:v>8.8405801884887953</c:v>
                </c:pt>
                <c:pt idx="88">
                  <c:v>8.7345600899529927</c:v>
                </c:pt>
                <c:pt idx="89">
                  <c:v>8.7372921125442211</c:v>
                </c:pt>
                <c:pt idx="90">
                  <c:v>8.92172453036431</c:v>
                </c:pt>
                <c:pt idx="91">
                  <c:v>10.205848855956967</c:v>
                </c:pt>
                <c:pt idx="92">
                  <c:v>8.9602109555769864</c:v>
                </c:pt>
                <c:pt idx="93">
                  <c:v>8.9089649723923987</c:v>
                </c:pt>
                <c:pt idx="94">
                  <c:v>8.7629589207667262</c:v>
                </c:pt>
                <c:pt idx="95">
                  <c:v>8.798605650854423</c:v>
                </c:pt>
                <c:pt idx="96">
                  <c:v>8.6638875705670415</c:v>
                </c:pt>
                <c:pt idx="97">
                  <c:v>8.8486528862139053</c:v>
                </c:pt>
                <c:pt idx="98">
                  <c:v>11.313071102883967</c:v>
                </c:pt>
                <c:pt idx="99">
                  <c:v>8.9911888419315105</c:v>
                </c:pt>
                <c:pt idx="100">
                  <c:v>8.7565250029269723</c:v>
                </c:pt>
                <c:pt idx="101">
                  <c:v>8.7155521259078164</c:v>
                </c:pt>
                <c:pt idx="102">
                  <c:v>8.6567812056232913</c:v>
                </c:pt>
                <c:pt idx="103">
                  <c:v>8.77539495854551</c:v>
                </c:pt>
                <c:pt idx="104">
                  <c:v>8.9528641415814683</c:v>
                </c:pt>
                <c:pt idx="105">
                  <c:v>8.8741680903639679</c:v>
                </c:pt>
                <c:pt idx="106">
                  <c:v>8.8528079176233216</c:v>
                </c:pt>
                <c:pt idx="107">
                  <c:v>10.258606286207554</c:v>
                </c:pt>
                <c:pt idx="108">
                  <c:v>8.9550609506319017</c:v>
                </c:pt>
                <c:pt idx="109">
                  <c:v>9.0805733139171174</c:v>
                </c:pt>
                <c:pt idx="110">
                  <c:v>8.9572529442889017</c:v>
                </c:pt>
                <c:pt idx="111">
                  <c:v>8.9316841107317142</c:v>
                </c:pt>
                <c:pt idx="112">
                  <c:v>8.8902728393802466</c:v>
                </c:pt>
                <c:pt idx="113">
                  <c:v>10.126231023828998</c:v>
                </c:pt>
                <c:pt idx="114">
                  <c:v>8.8174459210418696</c:v>
                </c:pt>
                <c:pt idx="115">
                  <c:v>10.537521468603567</c:v>
                </c:pt>
                <c:pt idx="116">
                  <c:v>9.0819386571716585</c:v>
                </c:pt>
                <c:pt idx="117">
                  <c:v>8.8595054845191328</c:v>
                </c:pt>
                <c:pt idx="118">
                  <c:v>8.7646780741166062</c:v>
                </c:pt>
                <c:pt idx="119">
                  <c:v>8.3735537412146268</c:v>
                </c:pt>
                <c:pt idx="120">
                  <c:v>8.5794165345963691</c:v>
                </c:pt>
                <c:pt idx="121">
                  <c:v>10.858883606290863</c:v>
                </c:pt>
                <c:pt idx="122">
                  <c:v>8.6904740035580428</c:v>
                </c:pt>
                <c:pt idx="123">
                  <c:v>8.7922458474678766</c:v>
                </c:pt>
                <c:pt idx="124">
                  <c:v>8.787830829258759</c:v>
                </c:pt>
                <c:pt idx="125">
                  <c:v>10.136343782704131</c:v>
                </c:pt>
                <c:pt idx="126">
                  <c:v>8.7193173755063711</c:v>
                </c:pt>
                <c:pt idx="127">
                  <c:v>8.7573118469364086</c:v>
                </c:pt>
                <c:pt idx="128">
                  <c:v>10.072174918054278</c:v>
                </c:pt>
                <c:pt idx="129">
                  <c:v>8.9246563021870742</c:v>
                </c:pt>
                <c:pt idx="130">
                  <c:v>8.781708985836179</c:v>
                </c:pt>
                <c:pt idx="131">
                  <c:v>8.9347186140167683</c:v>
                </c:pt>
                <c:pt idx="132">
                  <c:v>10.038630146478422</c:v>
                </c:pt>
                <c:pt idx="133">
                  <c:v>8.9355087115032212</c:v>
                </c:pt>
                <c:pt idx="134">
                  <c:v>8.9488457292780499</c:v>
                </c:pt>
                <c:pt idx="135">
                  <c:v>8.9298325032724026</c:v>
                </c:pt>
                <c:pt idx="136">
                  <c:v>11.112164276066547</c:v>
                </c:pt>
                <c:pt idx="137">
                  <c:v>8.7727652099497853</c:v>
                </c:pt>
                <c:pt idx="138">
                  <c:v>8.7727652099497853</c:v>
                </c:pt>
                <c:pt idx="139">
                  <c:v>10.250016196420983</c:v>
                </c:pt>
                <c:pt idx="140">
                  <c:v>8.8038747635344343</c:v>
                </c:pt>
                <c:pt idx="141">
                  <c:v>8.6033708876572899</c:v>
                </c:pt>
                <c:pt idx="142">
                  <c:v>8.3238511313388166</c:v>
                </c:pt>
                <c:pt idx="143">
                  <c:v>10.780413560888006</c:v>
                </c:pt>
                <c:pt idx="144">
                  <c:v>8.6411791711972281</c:v>
                </c:pt>
                <c:pt idx="145">
                  <c:v>8.5312933157950184</c:v>
                </c:pt>
                <c:pt idx="146">
                  <c:v>10.412741942560633</c:v>
                </c:pt>
                <c:pt idx="147">
                  <c:v>8.8801682479034501</c:v>
                </c:pt>
                <c:pt idx="148">
                  <c:v>8.8417374286005845</c:v>
                </c:pt>
                <c:pt idx="149">
                  <c:v>10.374022290718541</c:v>
                </c:pt>
                <c:pt idx="150">
                  <c:v>9.0533356231660171</c:v>
                </c:pt>
                <c:pt idx="151">
                  <c:v>8.9765149723151119</c:v>
                </c:pt>
                <c:pt idx="152">
                  <c:v>8.4049199489334523</c:v>
                </c:pt>
                <c:pt idx="153">
                  <c:v>10.8104549569494</c:v>
                </c:pt>
                <c:pt idx="154">
                  <c:v>9.5867198991892497</c:v>
                </c:pt>
                <c:pt idx="155">
                  <c:v>8.8723469789830318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E-B041-B3F3-066DB33F4C2F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9.1311691895597491</c:v>
              </c:pt>
            </c:numLit>
          </c:xVal>
          <c:yVal>
            <c:numLit>
              <c:formatCode>General</c:formatCode>
              <c:ptCount val="1"/>
              <c:pt idx="0">
                <c:v>8.9159693113736047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61E-B041-B3F3-066DB33F4C2F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XLSTAT_20211101_192432_1_HID!xdata1</c:f>
              <c:numCache>
                <c:formatCode>General</c:formatCode>
                <c:ptCount val="70"/>
                <c:pt idx="0">
                  <c:v>8.3458702700554603</c:v>
                </c:pt>
                <c:pt idx="1">
                  <c:v>8.4167632150593104</c:v>
                </c:pt>
                <c:pt idx="2">
                  <c:v>8.4876561600631604</c:v>
                </c:pt>
                <c:pt idx="3">
                  <c:v>8.5585491050670104</c:v>
                </c:pt>
                <c:pt idx="4">
                  <c:v>8.6294420500708604</c:v>
                </c:pt>
                <c:pt idx="5">
                  <c:v>8.7003349950747086</c:v>
                </c:pt>
                <c:pt idx="6">
                  <c:v>8.7712279400785587</c:v>
                </c:pt>
                <c:pt idx="7">
                  <c:v>8.8421208850824087</c:v>
                </c:pt>
                <c:pt idx="8">
                  <c:v>8.9130138300862587</c:v>
                </c:pt>
                <c:pt idx="9">
                  <c:v>8.9839067750901087</c:v>
                </c:pt>
                <c:pt idx="10">
                  <c:v>9.0547997200939587</c:v>
                </c:pt>
                <c:pt idx="11">
                  <c:v>9.1256926650978087</c:v>
                </c:pt>
                <c:pt idx="12">
                  <c:v>9.196585610101657</c:v>
                </c:pt>
                <c:pt idx="13">
                  <c:v>9.267478555105507</c:v>
                </c:pt>
                <c:pt idx="14">
                  <c:v>9.338371500109357</c:v>
                </c:pt>
                <c:pt idx="15">
                  <c:v>9.409264445113207</c:v>
                </c:pt>
                <c:pt idx="16">
                  <c:v>9.480157390117057</c:v>
                </c:pt>
                <c:pt idx="17">
                  <c:v>9.5510503351209071</c:v>
                </c:pt>
                <c:pt idx="18">
                  <c:v>9.6219432801247571</c:v>
                </c:pt>
                <c:pt idx="19">
                  <c:v>9.6928362251286071</c:v>
                </c:pt>
                <c:pt idx="20">
                  <c:v>9.7637291701324571</c:v>
                </c:pt>
                <c:pt idx="21">
                  <c:v>9.8346221151363054</c:v>
                </c:pt>
                <c:pt idx="22">
                  <c:v>9.9055150601401554</c:v>
                </c:pt>
                <c:pt idx="23">
                  <c:v>9.9764080051440054</c:v>
                </c:pt>
                <c:pt idx="24">
                  <c:v>10.047300950147855</c:v>
                </c:pt>
                <c:pt idx="25">
                  <c:v>10.118193895151705</c:v>
                </c:pt>
                <c:pt idx="26">
                  <c:v>10.189086840155555</c:v>
                </c:pt>
                <c:pt idx="27">
                  <c:v>10.259979785159405</c:v>
                </c:pt>
                <c:pt idx="28">
                  <c:v>10.330872730163254</c:v>
                </c:pt>
                <c:pt idx="29">
                  <c:v>10.401765675167105</c:v>
                </c:pt>
                <c:pt idx="30">
                  <c:v>10.472658620170954</c:v>
                </c:pt>
                <c:pt idx="31">
                  <c:v>10.543551565174804</c:v>
                </c:pt>
                <c:pt idx="32">
                  <c:v>10.614444510178654</c:v>
                </c:pt>
                <c:pt idx="33">
                  <c:v>10.685337455182504</c:v>
                </c:pt>
                <c:pt idx="34">
                  <c:v>10.756230400186354</c:v>
                </c:pt>
                <c:pt idx="35">
                  <c:v>10.827123345190202</c:v>
                </c:pt>
                <c:pt idx="36">
                  <c:v>10.898016290194054</c:v>
                </c:pt>
                <c:pt idx="37">
                  <c:v>10.968909235197902</c:v>
                </c:pt>
                <c:pt idx="38">
                  <c:v>11.039802180201752</c:v>
                </c:pt>
                <c:pt idx="39">
                  <c:v>11.110695125205602</c:v>
                </c:pt>
                <c:pt idx="40">
                  <c:v>11.181588070209452</c:v>
                </c:pt>
                <c:pt idx="41">
                  <c:v>11.252481015213302</c:v>
                </c:pt>
                <c:pt idx="42">
                  <c:v>11.323373960217152</c:v>
                </c:pt>
                <c:pt idx="43">
                  <c:v>11.394266905221002</c:v>
                </c:pt>
                <c:pt idx="44">
                  <c:v>11.46515985022485</c:v>
                </c:pt>
                <c:pt idx="45">
                  <c:v>11.536052795228702</c:v>
                </c:pt>
                <c:pt idx="46">
                  <c:v>11.60694574023255</c:v>
                </c:pt>
                <c:pt idx="47">
                  <c:v>11.6778386852364</c:v>
                </c:pt>
                <c:pt idx="48">
                  <c:v>11.74873163024025</c:v>
                </c:pt>
                <c:pt idx="49">
                  <c:v>11.8196245752441</c:v>
                </c:pt>
                <c:pt idx="50">
                  <c:v>11.890517520247951</c:v>
                </c:pt>
                <c:pt idx="51">
                  <c:v>11.961410465251799</c:v>
                </c:pt>
                <c:pt idx="52">
                  <c:v>12.032303410255651</c:v>
                </c:pt>
                <c:pt idx="53">
                  <c:v>12.103196355259499</c:v>
                </c:pt>
                <c:pt idx="54">
                  <c:v>12.174089300263349</c:v>
                </c:pt>
                <c:pt idx="55">
                  <c:v>12.244982245267199</c:v>
                </c:pt>
                <c:pt idx="56">
                  <c:v>12.315875190271049</c:v>
                </c:pt>
                <c:pt idx="57">
                  <c:v>12.386768135274899</c:v>
                </c:pt>
                <c:pt idx="58">
                  <c:v>12.457661080278749</c:v>
                </c:pt>
                <c:pt idx="59">
                  <c:v>12.528554025282599</c:v>
                </c:pt>
                <c:pt idx="60">
                  <c:v>12.599446970286447</c:v>
                </c:pt>
                <c:pt idx="61">
                  <c:v>12.670339915290299</c:v>
                </c:pt>
                <c:pt idx="62">
                  <c:v>12.741232860294147</c:v>
                </c:pt>
                <c:pt idx="63">
                  <c:v>12.812125805297997</c:v>
                </c:pt>
                <c:pt idx="64">
                  <c:v>12.883018750301847</c:v>
                </c:pt>
                <c:pt idx="65">
                  <c:v>12.953911695305697</c:v>
                </c:pt>
                <c:pt idx="66">
                  <c:v>13.024804640309547</c:v>
                </c:pt>
                <c:pt idx="67">
                  <c:v>13.095697585313395</c:v>
                </c:pt>
                <c:pt idx="68">
                  <c:v>13.166590530317247</c:v>
                </c:pt>
                <c:pt idx="69">
                  <c:v>13.237483475321095</c:v>
                </c:pt>
              </c:numCache>
            </c:numRef>
          </c:xVal>
          <c:yVal>
            <c:numRef>
              <c:f>XLSTAT_20211101_192432_1_HID!ydata1</c:f>
              <c:numCache>
                <c:formatCode>General</c:formatCode>
                <c:ptCount val="70"/>
                <c:pt idx="0">
                  <c:v>7.6745281200845969</c:v>
                </c:pt>
                <c:pt idx="1">
                  <c:v>7.7462272664021654</c:v>
                </c:pt>
                <c:pt idx="2">
                  <c:v>7.8178568225932441</c:v>
                </c:pt>
                <c:pt idx="3">
                  <c:v>7.8894165588339762</c:v>
                </c:pt>
                <c:pt idx="4">
                  <c:v>7.9609062662110626</c:v>
                </c:pt>
                <c:pt idx="5">
                  <c:v>8.0323257570447772</c:v>
                </c:pt>
                <c:pt idx="6">
                  <c:v>8.1036748651809987</c:v>
                </c:pt>
                <c:pt idx="7">
                  <c:v>8.1749534462511875</c:v>
                </c:pt>
                <c:pt idx="8">
                  <c:v>8.2461613778994192</c:v>
                </c:pt>
                <c:pt idx="9">
                  <c:v>8.3172985599755975</c:v>
                </c:pt>
                <c:pt idx="10">
                  <c:v>8.3883649146941561</c:v>
                </c:pt>
                <c:pt idx="11">
                  <c:v>8.459360386757675</c:v>
                </c:pt>
                <c:pt idx="12">
                  <c:v>8.5302849434449293</c:v>
                </c:pt>
                <c:pt idx="13">
                  <c:v>8.6011385746630804</c:v>
                </c:pt>
                <c:pt idx="14">
                  <c:v>8.6719212929637752</c:v>
                </c:pt>
                <c:pt idx="15">
                  <c:v>8.7426331335231122</c:v>
                </c:pt>
                <c:pt idx="16">
                  <c:v>8.8132741540855655</c:v>
                </c:pt>
                <c:pt idx="17">
                  <c:v>8.8838444348720387</c:v>
                </c:pt>
                <c:pt idx="18">
                  <c:v>8.9543440784524222</c:v>
                </c:pt>
                <c:pt idx="19">
                  <c:v>9.0247732095831132</c:v>
                </c:pt>
                <c:pt idx="20">
                  <c:v>9.0951319750100872</c:v>
                </c:pt>
                <c:pt idx="21">
                  <c:v>9.1654205432382501</c:v>
                </c:pt>
                <c:pt idx="22">
                  <c:v>9.2356391042679338</c:v>
                </c:pt>
                <c:pt idx="23">
                  <c:v>9.3057878692994436</c:v>
                </c:pt>
                <c:pt idx="24">
                  <c:v>9.3758670704067448</c:v>
                </c:pt>
                <c:pt idx="25">
                  <c:v>9.4458769601814581</c:v>
                </c:pt>
                <c:pt idx="26">
                  <c:v>9.5158178113483949</c:v>
                </c:pt>
                <c:pt idx="27">
                  <c:v>9.5856899163539673</c:v>
                </c:pt>
                <c:pt idx="28">
                  <c:v>9.6554935869289267</c:v>
                </c:pt>
                <c:pt idx="29">
                  <c:v>9.7252291536268576</c:v>
                </c:pt>
                <c:pt idx="30">
                  <c:v>9.7948969653400031</c:v>
                </c:pt>
                <c:pt idx="31">
                  <c:v>9.864497388794037</c:v>
                </c:pt>
                <c:pt idx="32">
                  <c:v>9.9340308080233388</c:v>
                </c:pt>
                <c:pt idx="33">
                  <c:v>10.003497623828538</c:v>
                </c:pt>
                <c:pt idx="34">
                  <c:v>10.072898253217932</c:v>
                </c:pt>
                <c:pt idx="35">
                  <c:v>10.14223312883454</c:v>
                </c:pt>
                <c:pt idx="36">
                  <c:v>10.211502698370483</c:v>
                </c:pt>
                <c:pt idx="37">
                  <c:v>10.280707423970366</c:v>
                </c:pt>
                <c:pt idx="38">
                  <c:v>10.349847781625449</c:v>
                </c:pt>
                <c:pt idx="39">
                  <c:v>10.418924260560177</c:v>
                </c:pt>
                <c:pt idx="40">
                  <c:v>10.487937362612801</c:v>
                </c:pt>
                <c:pt idx="41">
                  <c:v>10.556887601611683</c:v>
                </c:pt>
                <c:pt idx="42">
                  <c:v>10.625775502748862</c:v>
                </c:pt>
                <c:pt idx="43">
                  <c:v>10.694601601952442</c:v>
                </c:pt>
                <c:pt idx="44">
                  <c:v>10.763366445259258</c:v>
                </c:pt>
                <c:pt idx="45">
                  <c:v>10.832070588189293</c:v>
                </c:pt>
                <c:pt idx="46">
                  <c:v>10.90071459512316</c:v>
                </c:pt>
                <c:pt idx="47">
                  <c:v>10.969299038684051</c:v>
                </c:pt>
                <c:pt idx="48">
                  <c:v>11.037824499125293</c:v>
                </c:pt>
                <c:pt idx="49">
                  <c:v>11.106291563724771</c:v>
                </c:pt>
                <c:pt idx="50">
                  <c:v>11.174700826187287</c:v>
                </c:pt>
                <c:pt idx="51">
                  <c:v>11.243052886055892</c:v>
                </c:pt>
                <c:pt idx="52">
                  <c:v>11.311348348133167</c:v>
                </c:pt>
                <c:pt idx="53">
                  <c:v>11.379587821913306</c:v>
                </c:pt>
                <c:pt idx="54">
                  <c:v>11.447771921025879</c:v>
                </c:pt>
                <c:pt idx="55">
                  <c:v>11.515901262691935</c:v>
                </c:pt>
                <c:pt idx="56">
                  <c:v>11.583976467193191</c:v>
                </c:pt>
                <c:pt idx="57">
                  <c:v>11.651998157354834</c:v>
                </c:pt>
                <c:pt idx="58">
                  <c:v>11.719966958042527</c:v>
                </c:pt>
                <c:pt idx="59">
                  <c:v>11.78788349567402</c:v>
                </c:pt>
                <c:pt idx="60">
                  <c:v>11.855748397745797</c:v>
                </c:pt>
                <c:pt idx="61">
                  <c:v>11.923562292375076</c:v>
                </c:pt>
                <c:pt idx="62">
                  <c:v>11.99132580785739</c:v>
                </c:pt>
                <c:pt idx="63">
                  <c:v>12.059039572240037</c:v>
                </c:pt>
                <c:pt idx="64">
                  <c:v>12.126704212911461</c:v>
                </c:pt>
                <c:pt idx="65">
                  <c:v>12.194320356206703</c:v>
                </c:pt>
                <c:pt idx="66">
                  <c:v>12.261888627028965</c:v>
                </c:pt>
                <c:pt idx="67">
                  <c:v>12.329409648487273</c:v>
                </c:pt>
                <c:pt idx="68">
                  <c:v>12.396884041550198</c:v>
                </c:pt>
                <c:pt idx="69">
                  <c:v>12.464312424715521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1E-B041-B3F3-066DB33F4C2F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XLSTAT_20211101_192432_1_HID!xdata2</c:f>
              <c:numCache>
                <c:formatCode>General</c:formatCode>
                <c:ptCount val="70"/>
                <c:pt idx="0">
                  <c:v>6.7593228609483296</c:v>
                </c:pt>
                <c:pt idx="1">
                  <c:v>6.8532092466638765</c:v>
                </c:pt>
                <c:pt idx="2">
                  <c:v>6.9470956323794244</c:v>
                </c:pt>
                <c:pt idx="3">
                  <c:v>7.0409820180949714</c:v>
                </c:pt>
                <c:pt idx="4">
                  <c:v>7.1348684038105192</c:v>
                </c:pt>
                <c:pt idx="5">
                  <c:v>7.2287547895260662</c:v>
                </c:pt>
                <c:pt idx="6">
                  <c:v>7.3226411752416141</c:v>
                </c:pt>
                <c:pt idx="7">
                  <c:v>7.416527560957161</c:v>
                </c:pt>
                <c:pt idx="8">
                  <c:v>7.5104139466727089</c:v>
                </c:pt>
                <c:pt idx="9">
                  <c:v>7.6043003323882559</c:v>
                </c:pt>
                <c:pt idx="10">
                  <c:v>7.6981867181038037</c:v>
                </c:pt>
                <c:pt idx="11">
                  <c:v>7.7920731038193507</c:v>
                </c:pt>
                <c:pt idx="12">
                  <c:v>7.8859594895348986</c:v>
                </c:pt>
                <c:pt idx="13">
                  <c:v>7.9798458752504455</c:v>
                </c:pt>
                <c:pt idx="14">
                  <c:v>8.0737322609659934</c:v>
                </c:pt>
                <c:pt idx="15">
                  <c:v>8.1676186466815413</c:v>
                </c:pt>
                <c:pt idx="16">
                  <c:v>8.2615050323970873</c:v>
                </c:pt>
                <c:pt idx="17">
                  <c:v>8.3553914181126352</c:v>
                </c:pt>
                <c:pt idx="18">
                  <c:v>8.4492778038281831</c:v>
                </c:pt>
                <c:pt idx="19">
                  <c:v>8.5431641895437309</c:v>
                </c:pt>
                <c:pt idx="20">
                  <c:v>8.637050575259277</c:v>
                </c:pt>
                <c:pt idx="21">
                  <c:v>8.7309369609748249</c:v>
                </c:pt>
                <c:pt idx="22">
                  <c:v>8.8248233466903727</c:v>
                </c:pt>
                <c:pt idx="23">
                  <c:v>8.9187097324059188</c:v>
                </c:pt>
                <c:pt idx="24">
                  <c:v>9.0125961181214667</c:v>
                </c:pt>
                <c:pt idx="25">
                  <c:v>9.1064825038370145</c:v>
                </c:pt>
                <c:pt idx="26">
                  <c:v>9.2003688895525624</c:v>
                </c:pt>
                <c:pt idx="27">
                  <c:v>9.2942552752681102</c:v>
                </c:pt>
                <c:pt idx="28">
                  <c:v>9.3881416609836563</c:v>
                </c:pt>
                <c:pt idx="29">
                  <c:v>9.4820280466992042</c:v>
                </c:pt>
                <c:pt idx="30">
                  <c:v>9.575914432414752</c:v>
                </c:pt>
                <c:pt idx="31">
                  <c:v>9.6698008181302981</c:v>
                </c:pt>
                <c:pt idx="32">
                  <c:v>9.763687203845846</c:v>
                </c:pt>
                <c:pt idx="33">
                  <c:v>9.8575735895613938</c:v>
                </c:pt>
                <c:pt idx="34">
                  <c:v>9.9514599752769417</c:v>
                </c:pt>
                <c:pt idx="35">
                  <c:v>10.04534636099249</c:v>
                </c:pt>
                <c:pt idx="36">
                  <c:v>10.139232746708036</c:v>
                </c:pt>
                <c:pt idx="37">
                  <c:v>10.233119132423584</c:v>
                </c:pt>
                <c:pt idx="38">
                  <c:v>10.327005518139131</c:v>
                </c:pt>
                <c:pt idx="39">
                  <c:v>10.420891903854677</c:v>
                </c:pt>
                <c:pt idx="40">
                  <c:v>10.514778289570225</c:v>
                </c:pt>
                <c:pt idx="41">
                  <c:v>10.608664675285773</c:v>
                </c:pt>
                <c:pt idx="42">
                  <c:v>10.702551061001321</c:v>
                </c:pt>
                <c:pt idx="43">
                  <c:v>10.796437446716869</c:v>
                </c:pt>
                <c:pt idx="44">
                  <c:v>10.890323832432415</c:v>
                </c:pt>
                <c:pt idx="45">
                  <c:v>10.984210218147963</c:v>
                </c:pt>
                <c:pt idx="46">
                  <c:v>11.078096603863511</c:v>
                </c:pt>
                <c:pt idx="47">
                  <c:v>11.171982989579057</c:v>
                </c:pt>
                <c:pt idx="48">
                  <c:v>11.265869375294605</c:v>
                </c:pt>
                <c:pt idx="49">
                  <c:v>11.359755761010152</c:v>
                </c:pt>
                <c:pt idx="50">
                  <c:v>11.453642146725699</c:v>
                </c:pt>
                <c:pt idx="51">
                  <c:v>11.547528532441248</c:v>
                </c:pt>
                <c:pt idx="52">
                  <c:v>11.641414918156794</c:v>
                </c:pt>
                <c:pt idx="53">
                  <c:v>11.735301303872342</c:v>
                </c:pt>
                <c:pt idx="54">
                  <c:v>11.82918768958789</c:v>
                </c:pt>
                <c:pt idx="55">
                  <c:v>11.923074075303436</c:v>
                </c:pt>
                <c:pt idx="56">
                  <c:v>12.016960461018984</c:v>
                </c:pt>
                <c:pt idx="57">
                  <c:v>12.110846846734532</c:v>
                </c:pt>
                <c:pt idx="58">
                  <c:v>12.204733232450078</c:v>
                </c:pt>
                <c:pt idx="59">
                  <c:v>12.298619618165628</c:v>
                </c:pt>
                <c:pt idx="60">
                  <c:v>12.392506003881174</c:v>
                </c:pt>
                <c:pt idx="61">
                  <c:v>12.486392389596721</c:v>
                </c:pt>
                <c:pt idx="62">
                  <c:v>12.580278775312269</c:v>
                </c:pt>
                <c:pt idx="63">
                  <c:v>12.674165161027815</c:v>
                </c:pt>
                <c:pt idx="64">
                  <c:v>12.768051546743363</c:v>
                </c:pt>
                <c:pt idx="65">
                  <c:v>12.861937932458911</c:v>
                </c:pt>
                <c:pt idx="66">
                  <c:v>12.955824318174457</c:v>
                </c:pt>
                <c:pt idx="67">
                  <c:v>13.049710703890005</c:v>
                </c:pt>
                <c:pt idx="68">
                  <c:v>13.143597089605553</c:v>
                </c:pt>
                <c:pt idx="69">
                  <c:v>13.237483475321099</c:v>
                </c:pt>
              </c:numCache>
            </c:numRef>
          </c:xVal>
          <c:yVal>
            <c:numRef>
              <c:f>XLSTAT_20211101_192432_1_HID!ydata2</c:f>
              <c:numCache>
                <c:formatCode>General</c:formatCode>
                <c:ptCount val="70"/>
                <c:pt idx="0">
                  <c:v>7.4661734868913765</c:v>
                </c:pt>
                <c:pt idx="1">
                  <c:v>7.5570729244915515</c:v>
                </c:pt>
                <c:pt idx="2">
                  <c:v>7.6480778856262255</c:v>
                </c:pt>
                <c:pt idx="3">
                  <c:v>7.7391896767479391</c:v>
                </c:pt>
                <c:pt idx="4">
                  <c:v>7.8304095763295836</c:v>
                </c:pt>
                <c:pt idx="5">
                  <c:v>7.9217388323218341</c:v>
                </c:pt>
                <c:pt idx="6">
                  <c:v>8.0131786595991077</c:v>
                </c:pt>
                <c:pt idx="7">
                  <c:v>8.1047302374041674</c:v>
                </c:pt>
                <c:pt idx="8">
                  <c:v>8.1963947068021064</c:v>
                </c:pt>
                <c:pt idx="9">
                  <c:v>8.2881731681548381</c:v>
                </c:pt>
                <c:pt idx="10">
                  <c:v>8.380066678627637</c:v>
                </c:pt>
                <c:pt idx="11">
                  <c:v>8.4720762497395583</c:v>
                </c:pt>
                <c:pt idx="12">
                  <c:v>8.5642028449698113</c:v>
                </c:pt>
                <c:pt idx="13">
                  <c:v>8.6564473774322526</c:v>
                </c:pt>
                <c:pt idx="14">
                  <c:v>8.74881070763022</c:v>
                </c:pt>
                <c:pt idx="15">
                  <c:v>8.8412936413038192</c:v>
                </c:pt>
                <c:pt idx="16">
                  <c:v>8.9338969273816318</c:v>
                </c:pt>
                <c:pt idx="17">
                  <c:v>9.026621256048438</c:v>
                </c:pt>
                <c:pt idx="18">
                  <c:v>9.1194672569401956</c:v>
                </c:pt>
                <c:pt idx="19">
                  <c:v>9.2124354974769709</c:v>
                </c:pt>
                <c:pt idx="20">
                  <c:v>9.3055264813438558</c:v>
                </c:pt>
                <c:pt idx="21">
                  <c:v>9.3987406471291948</c:v>
                </c:pt>
                <c:pt idx="22">
                  <c:v>9.4920783671285598</c:v>
                </c:pt>
                <c:pt idx="23">
                  <c:v>9.5855399463220294</c:v>
                </c:pt>
                <c:pt idx="24">
                  <c:v>9.6791256215312433</c:v>
                </c:pt>
                <c:pt idx="25">
                  <c:v>9.7728355607616422</c:v>
                </c:pt>
                <c:pt idx="26">
                  <c:v>9.8666698627341631</c:v>
                </c:pt>
                <c:pt idx="27">
                  <c:v>9.9606285566093842</c:v>
                </c:pt>
                <c:pt idx="28">
                  <c:v>10.054711601905957</c:v>
                </c:pt>
                <c:pt idx="29">
                  <c:v>10.148918888613849</c:v>
                </c:pt>
                <c:pt idx="30">
                  <c:v>10.243250237501609</c:v>
                </c:pt>
                <c:pt idx="31">
                  <c:v>10.337705400615745</c:v>
                </c:pt>
                <c:pt idx="32">
                  <c:v>10.432284061968909</c:v>
                </c:pt>
                <c:pt idx="33">
                  <c:v>10.526985838412461</c:v>
                </c:pt>
                <c:pt idx="34">
                  <c:v>10.621810280687844</c:v>
                </c:pt>
                <c:pt idx="35">
                  <c:v>10.7167568746501</c:v>
                </c:pt>
                <c:pt idx="36">
                  <c:v>10.811825042655808</c:v>
                </c:pt>
                <c:pt idx="37">
                  <c:v>10.907014145106906</c:v>
                </c:pt>
                <c:pt idx="38">
                  <c:v>11.00232348214087</c:v>
                </c:pt>
                <c:pt idx="39">
                  <c:v>11.097752295457175</c:v>
                </c:pt>
                <c:pt idx="40">
                  <c:v>11.193299770269221</c:v>
                </c:pt>
                <c:pt idx="41">
                  <c:v>11.288965037370392</c:v>
                </c:pt>
                <c:pt idx="42">
                  <c:v>11.384747175302632</c:v>
                </c:pt>
                <c:pt idx="43">
                  <c:v>11.480645212615496</c:v>
                </c:pt>
                <c:pt idx="44">
                  <c:v>11.576658130203558</c:v>
                </c:pt>
                <c:pt idx="45">
                  <c:v>11.672784863709984</c:v>
                </c:pt>
                <c:pt idx="46">
                  <c:v>11.769024305984042</c:v>
                </c:pt>
                <c:pt idx="47">
                  <c:v>11.865375309580575</c:v>
                </c:pt>
                <c:pt idx="48">
                  <c:v>11.961836689289632</c:v>
                </c:pt>
                <c:pt idx="49">
                  <c:v>12.05840722468475</c:v>
                </c:pt>
                <c:pt idx="50">
                  <c:v>12.155085662678836</c:v>
                </c:pt>
                <c:pt idx="51">
                  <c:v>12.251870720077044</c:v>
                </c:pt>
                <c:pt idx="52">
                  <c:v>12.348761086116509</c:v>
                </c:pt>
                <c:pt idx="53">
                  <c:v>12.445755424983512</c:v>
                </c:pt>
                <c:pt idx="54">
                  <c:v>12.542852378299076</c:v>
                </c:pt>
                <c:pt idx="55">
                  <c:v>12.640050567564835</c:v>
                </c:pt>
                <c:pt idx="56">
                  <c:v>12.737348596561571</c:v>
                </c:pt>
                <c:pt idx="57">
                  <c:v>12.834745053693512</c:v>
                </c:pt>
                <c:pt idx="58">
                  <c:v>12.932238514272253</c:v>
                </c:pt>
                <c:pt idx="59">
                  <c:v>13.029827542734788</c:v>
                </c:pt>
                <c:pt idx="60">
                  <c:v>13.127510694790796</c:v>
                </c:pt>
                <c:pt idx="61">
                  <c:v>13.22528651949518</c:v>
                </c:pt>
                <c:pt idx="62">
                  <c:v>13.323153561242231</c:v>
                </c:pt>
                <c:pt idx="63">
                  <c:v>13.421110361678712</c:v>
                </c:pt>
                <c:pt idx="64">
                  <c:v>13.519155461533567</c:v>
                </c:pt>
                <c:pt idx="65">
                  <c:v>13.617287402362589</c:v>
                </c:pt>
                <c:pt idx="66">
                  <c:v>13.715504728206993</c:v>
                </c:pt>
                <c:pt idx="67">
                  <c:v>13.813805987165248</c:v>
                </c:pt>
                <c:pt idx="68">
                  <c:v>13.912189732878035</c:v>
                </c:pt>
                <c:pt idx="69">
                  <c:v>14.010654525926673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61E-B041-B3F3-066DB33F4C2F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</c:v>
              </c:pt>
              <c:pt idx="1">
                <c:v>15</c:v>
              </c:pt>
            </c:numLit>
          </c:xVal>
          <c:yVal>
            <c:numLit>
              <c:formatCode>General</c:formatCode>
              <c:ptCount val="2"/>
              <c:pt idx="0">
                <c:v>6</c:v>
              </c:pt>
              <c:pt idx="1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61E-B041-B3F3-066DB33F4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049855"/>
        <c:axId val="1844923263"/>
      </c:scatterChart>
      <c:valAx>
        <c:axId val="1782049855"/>
        <c:scaling>
          <c:orientation val="minMax"/>
          <c:max val="15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Pred(Ln(UVolTomb))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4923263"/>
        <c:crosses val="autoZero"/>
        <c:crossBetween val="midCat"/>
      </c:valAx>
      <c:valAx>
        <c:axId val="1844923263"/>
        <c:scaling>
          <c:orientation val="minMax"/>
          <c:max val="15"/>
          <c:min val="6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Ln(UVolTomb)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8204985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Ln(UVolTomb)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'Regr-SalesTomb'!$B$115:$B$270</c:f>
              <c:strCache>
                <c:ptCount val="156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</c:strCache>
            </c:strRef>
          </c:cat>
          <c:val>
            <c:numRef>
              <c:f>'Regr-SalesTomb'!$G$115:$G$270</c:f>
              <c:numCache>
                <c:formatCode>0.000</c:formatCode>
                <c:ptCount val="156"/>
                <c:pt idx="0">
                  <c:v>4.5757404746366671E-2</c:v>
                </c:pt>
                <c:pt idx="1">
                  <c:v>-0.64024943669897461</c:v>
                </c:pt>
                <c:pt idx="2">
                  <c:v>-0.13018037264303778</c:v>
                </c:pt>
                <c:pt idx="3">
                  <c:v>2.9175354549380087E-2</c:v>
                </c:pt>
                <c:pt idx="4">
                  <c:v>9.6049070283044186E-2</c:v>
                </c:pt>
                <c:pt idx="5">
                  <c:v>-0.11210984229883203</c:v>
                </c:pt>
                <c:pt idx="6">
                  <c:v>0.5738334036385957</c:v>
                </c:pt>
                <c:pt idx="7">
                  <c:v>0.97740530530976388</c:v>
                </c:pt>
                <c:pt idx="8">
                  <c:v>0.22032237167999427</c:v>
                </c:pt>
                <c:pt idx="9">
                  <c:v>0.42805155010091306</c:v>
                </c:pt>
                <c:pt idx="10">
                  <c:v>0.83363194100551985</c:v>
                </c:pt>
                <c:pt idx="11">
                  <c:v>-0.32429922529915756</c:v>
                </c:pt>
                <c:pt idx="12">
                  <c:v>-0.31527387699731235</c:v>
                </c:pt>
                <c:pt idx="13">
                  <c:v>-0.54804384801929817</c:v>
                </c:pt>
                <c:pt idx="14">
                  <c:v>-0.63549620448655408</c:v>
                </c:pt>
                <c:pt idx="15">
                  <c:v>-0.22621434917857494</c:v>
                </c:pt>
                <c:pt idx="16">
                  <c:v>-0.75045329498420177</c:v>
                </c:pt>
                <c:pt idx="17">
                  <c:v>-0.22527027284986298</c:v>
                </c:pt>
                <c:pt idx="18">
                  <c:v>0.32963229415078033</c:v>
                </c:pt>
                <c:pt idx="19">
                  <c:v>-0.57491116801666586</c:v>
                </c:pt>
                <c:pt idx="20">
                  <c:v>1.2120063502146226</c:v>
                </c:pt>
                <c:pt idx="21">
                  <c:v>-1.3155410897771942</c:v>
                </c:pt>
                <c:pt idx="22">
                  <c:v>-0.42750133943372565</c:v>
                </c:pt>
                <c:pt idx="23">
                  <c:v>-0.3289014131533427</c:v>
                </c:pt>
                <c:pt idx="24">
                  <c:v>-0.24909615451148323</c:v>
                </c:pt>
                <c:pt idx="25">
                  <c:v>-0.63882469476095172</c:v>
                </c:pt>
                <c:pt idx="26">
                  <c:v>0.62023998631943844</c:v>
                </c:pt>
                <c:pt idx="27">
                  <c:v>0.46591629752218566</c:v>
                </c:pt>
                <c:pt idx="28">
                  <c:v>0.61971906472454641</c:v>
                </c:pt>
                <c:pt idx="29">
                  <c:v>1.140542139115637</c:v>
                </c:pt>
                <c:pt idx="30">
                  <c:v>0.93647032721182855</c:v>
                </c:pt>
                <c:pt idx="31">
                  <c:v>0.41718507634202529</c:v>
                </c:pt>
                <c:pt idx="32">
                  <c:v>0.4879467855865216</c:v>
                </c:pt>
                <c:pt idx="33">
                  <c:v>0.38160185706401645</c:v>
                </c:pt>
                <c:pt idx="34">
                  <c:v>0.5361629459329168</c:v>
                </c:pt>
                <c:pt idx="35">
                  <c:v>0.78320595770334067</c:v>
                </c:pt>
                <c:pt idx="36">
                  <c:v>-0.26233025233585189</c:v>
                </c:pt>
                <c:pt idx="37">
                  <c:v>0.24130401135545732</c:v>
                </c:pt>
                <c:pt idx="38">
                  <c:v>0.30058482796767827</c:v>
                </c:pt>
                <c:pt idx="39">
                  <c:v>0.13282756028352796</c:v>
                </c:pt>
                <c:pt idx="40">
                  <c:v>0.29244056820479636</c:v>
                </c:pt>
                <c:pt idx="41">
                  <c:v>0.3271151509045917</c:v>
                </c:pt>
                <c:pt idx="42">
                  <c:v>0.3086517513589726</c:v>
                </c:pt>
                <c:pt idx="43">
                  <c:v>-2.9543173117885981E-2</c:v>
                </c:pt>
                <c:pt idx="44">
                  <c:v>-0.2644800157829022</c:v>
                </c:pt>
                <c:pt idx="45">
                  <c:v>0.37156440997753709</c:v>
                </c:pt>
                <c:pt idx="46">
                  <c:v>0.6382000575256539</c:v>
                </c:pt>
                <c:pt idx="47">
                  <c:v>0.88021766767303911</c:v>
                </c:pt>
                <c:pt idx="48">
                  <c:v>0.16499581192369514</c:v>
                </c:pt>
                <c:pt idx="49">
                  <c:v>0.9670693615783823</c:v>
                </c:pt>
                <c:pt idx="50">
                  <c:v>0.58750430427597855</c:v>
                </c:pt>
                <c:pt idx="51">
                  <c:v>0.40589213454364403</c:v>
                </c:pt>
                <c:pt idx="52">
                  <c:v>0.99213198792740653</c:v>
                </c:pt>
                <c:pt idx="53">
                  <c:v>-0.15928272194653614</c:v>
                </c:pt>
                <c:pt idx="54">
                  <c:v>0.53616635280721314</c:v>
                </c:pt>
                <c:pt idx="55">
                  <c:v>1.2524238535774461</c:v>
                </c:pt>
                <c:pt idx="56">
                  <c:v>0.28462506253243408</c:v>
                </c:pt>
                <c:pt idx="57">
                  <c:v>0.37051931181151437</c:v>
                </c:pt>
                <c:pt idx="58">
                  <c:v>1.1308937526357103</c:v>
                </c:pt>
                <c:pt idx="59">
                  <c:v>5.6335159706185307E-2</c:v>
                </c:pt>
                <c:pt idx="60">
                  <c:v>0.59412879474924074</c:v>
                </c:pt>
                <c:pt idx="61">
                  <c:v>0.52065187921243494</c:v>
                </c:pt>
                <c:pt idx="62">
                  <c:v>0.53898830243529749</c:v>
                </c:pt>
                <c:pt idx="63">
                  <c:v>0.22003782640046091</c:v>
                </c:pt>
                <c:pt idx="64">
                  <c:v>-0.2630056985514892</c:v>
                </c:pt>
                <c:pt idx="65">
                  <c:v>0.53782767137136533</c:v>
                </c:pt>
                <c:pt idx="66">
                  <c:v>-0.1410655277476173</c:v>
                </c:pt>
                <c:pt idx="67">
                  <c:v>-0.16957796418743373</c:v>
                </c:pt>
                <c:pt idx="68">
                  <c:v>0.12772253161750466</c:v>
                </c:pt>
                <c:pt idx="69">
                  <c:v>-1.5240307171030365E-2</c:v>
                </c:pt>
                <c:pt idx="70">
                  <c:v>0.66973116763106622</c:v>
                </c:pt>
                <c:pt idx="71">
                  <c:v>-0.33654310188691072</c:v>
                </c:pt>
                <c:pt idx="72">
                  <c:v>0.22329356500888867</c:v>
                </c:pt>
                <c:pt idx="73">
                  <c:v>-4.9349354117742231E-2</c:v>
                </c:pt>
                <c:pt idx="74">
                  <c:v>0.18882234832866182</c:v>
                </c:pt>
                <c:pt idx="75">
                  <c:v>-0.30692299283682878</c:v>
                </c:pt>
                <c:pt idx="76">
                  <c:v>0.2763108026533474</c:v>
                </c:pt>
                <c:pt idx="77">
                  <c:v>-0.20453174780426522</c:v>
                </c:pt>
                <c:pt idx="78">
                  <c:v>0.24479441378991568</c:v>
                </c:pt>
                <c:pt idx="79">
                  <c:v>9.360090103431383E-2</c:v>
                </c:pt>
                <c:pt idx="80">
                  <c:v>-0.38738166725945355</c:v>
                </c:pt>
                <c:pt idx="81">
                  <c:v>0.4533883530296815</c:v>
                </c:pt>
                <c:pt idx="82">
                  <c:v>4.1291415716732699E-2</c:v>
                </c:pt>
                <c:pt idx="83">
                  <c:v>-0.60062060462401923</c:v>
                </c:pt>
                <c:pt idx="84">
                  <c:v>0.10313163325389231</c:v>
                </c:pt>
                <c:pt idx="85">
                  <c:v>0.65134480919688531</c:v>
                </c:pt>
                <c:pt idx="86">
                  <c:v>-0.13388746717262745</c:v>
                </c:pt>
                <c:pt idx="87">
                  <c:v>0.14469988712867149</c:v>
                </c:pt>
                <c:pt idx="88">
                  <c:v>-0.38519056962079118</c:v>
                </c:pt>
                <c:pt idx="89">
                  <c:v>6.4296570125150318E-2</c:v>
                </c:pt>
                <c:pt idx="90">
                  <c:v>0.43546915859643437</c:v>
                </c:pt>
                <c:pt idx="91">
                  <c:v>0.71580069587516848</c:v>
                </c:pt>
                <c:pt idx="92">
                  <c:v>-0.12296281561426302</c:v>
                </c:pt>
                <c:pt idx="93">
                  <c:v>0.12201417698105513</c:v>
                </c:pt>
                <c:pt idx="94">
                  <c:v>-0.14960970450560707</c:v>
                </c:pt>
                <c:pt idx="95">
                  <c:v>8.3852009314191581E-2</c:v>
                </c:pt>
                <c:pt idx="96">
                  <c:v>-1.6734417313617786E-2</c:v>
                </c:pt>
                <c:pt idx="97">
                  <c:v>-7.3364239025313055E-2</c:v>
                </c:pt>
                <c:pt idx="98">
                  <c:v>1.7457801330526956</c:v>
                </c:pt>
                <c:pt idx="99">
                  <c:v>-1.1264288154842146</c:v>
                </c:pt>
                <c:pt idx="100">
                  <c:v>-0.25400658803587911</c:v>
                </c:pt>
                <c:pt idx="101">
                  <c:v>0.19317501334095782</c:v>
                </c:pt>
                <c:pt idx="102">
                  <c:v>-0.40462537703287521</c:v>
                </c:pt>
                <c:pt idx="103">
                  <c:v>-0.12967984470486332</c:v>
                </c:pt>
                <c:pt idx="104">
                  <c:v>0.21650857087995379</c:v>
                </c:pt>
                <c:pt idx="105">
                  <c:v>5.0814755273108608E-2</c:v>
                </c:pt>
                <c:pt idx="106">
                  <c:v>0.27211347034723837</c:v>
                </c:pt>
                <c:pt idx="107">
                  <c:v>0.90381580097052605</c:v>
                </c:pt>
                <c:pt idx="108">
                  <c:v>-1.9266025001976439E-2</c:v>
                </c:pt>
                <c:pt idx="109">
                  <c:v>0.7072177471504183</c:v>
                </c:pt>
                <c:pt idx="110">
                  <c:v>5.86535044725097E-2</c:v>
                </c:pt>
                <c:pt idx="111">
                  <c:v>0.1391358245584271</c:v>
                </c:pt>
                <c:pt idx="112">
                  <c:v>0.15054542570776927</c:v>
                </c:pt>
                <c:pt idx="113">
                  <c:v>0.44458091001263028</c:v>
                </c:pt>
                <c:pt idx="114">
                  <c:v>-1.7243014325901034</c:v>
                </c:pt>
                <c:pt idx="115">
                  <c:v>-0.46429358757350642</c:v>
                </c:pt>
                <c:pt idx="116">
                  <c:v>-1.4837336133344114</c:v>
                </c:pt>
                <c:pt idx="117">
                  <c:v>-1.232904497402014</c:v>
                </c:pt>
                <c:pt idx="118">
                  <c:v>-0.95349876334177597</c:v>
                </c:pt>
                <c:pt idx="119">
                  <c:v>-0.22491997747653283</c:v>
                </c:pt>
                <c:pt idx="120">
                  <c:v>0.31056099650255181</c:v>
                </c:pt>
                <c:pt idx="121">
                  <c:v>4.8684579423959775</c:v>
                </c:pt>
                <c:pt idx="122">
                  <c:v>-1.8915092936324464E-2</c:v>
                </c:pt>
                <c:pt idx="123">
                  <c:v>-0.79411370357598432</c:v>
                </c:pt>
                <c:pt idx="124">
                  <c:v>-1.2308351231127379</c:v>
                </c:pt>
                <c:pt idx="125">
                  <c:v>0.48686974018692153</c:v>
                </c:pt>
                <c:pt idx="126">
                  <c:v>-1.7165685200928618</c:v>
                </c:pt>
                <c:pt idx="127">
                  <c:v>-1.7003348726217964</c:v>
                </c:pt>
                <c:pt idx="128">
                  <c:v>0.215161759568265</c:v>
                </c:pt>
                <c:pt idx="129">
                  <c:v>-0.8288118268367467</c:v>
                </c:pt>
                <c:pt idx="130">
                  <c:v>-0.985894604821141</c:v>
                </c:pt>
                <c:pt idx="131">
                  <c:v>-0.70726774238909618</c:v>
                </c:pt>
                <c:pt idx="132">
                  <c:v>0.19396719591330477</c:v>
                </c:pt>
                <c:pt idx="133">
                  <c:v>-1.0952617898802726</c:v>
                </c:pt>
                <c:pt idx="134">
                  <c:v>-0.95546637549969582</c:v>
                </c:pt>
                <c:pt idx="135">
                  <c:v>-1.3062282995860626</c:v>
                </c:pt>
                <c:pt idx="136">
                  <c:v>0.24077214497612301</c:v>
                </c:pt>
                <c:pt idx="137">
                  <c:v>-2.4138949798826639</c:v>
                </c:pt>
                <c:pt idx="138">
                  <c:v>-1.1307642210783861</c:v>
                </c:pt>
                <c:pt idx="139">
                  <c:v>-1.2804572040668565</c:v>
                </c:pt>
                <c:pt idx="140">
                  <c:v>-1.6789921147609563</c:v>
                </c:pt>
                <c:pt idx="141">
                  <c:v>-1.4951905085215969</c:v>
                </c:pt>
                <c:pt idx="142">
                  <c:v>-0.99221520670889407</c:v>
                </c:pt>
                <c:pt idx="143">
                  <c:v>4.8855256138076957</c:v>
                </c:pt>
                <c:pt idx="144">
                  <c:v>-8.3733082318001556E-2</c:v>
                </c:pt>
                <c:pt idx="145">
                  <c:v>-0.80763987609510368</c:v>
                </c:pt>
                <c:pt idx="146">
                  <c:v>-0.61979275109889231</c:v>
                </c:pt>
                <c:pt idx="147">
                  <c:v>-1.1735510308130341</c:v>
                </c:pt>
                <c:pt idx="148">
                  <c:v>-0.99678506849005599</c:v>
                </c:pt>
                <c:pt idx="149">
                  <c:v>-1.1326383882171751</c:v>
                </c:pt>
                <c:pt idx="150">
                  <c:v>-1.0140834526234823</c:v>
                </c:pt>
                <c:pt idx="151">
                  <c:v>-1.1050984286183789</c:v>
                </c:pt>
                <c:pt idx="152">
                  <c:v>-0.58442858109603402</c:v>
                </c:pt>
                <c:pt idx="153">
                  <c:v>4.8359149910389538</c:v>
                </c:pt>
                <c:pt idx="154">
                  <c:v>-1.0449954142890452</c:v>
                </c:pt>
                <c:pt idx="155">
                  <c:v>-0.92148132763689028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84-4B48-92F5-EC0817E5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45157439"/>
        <c:axId val="1845159087"/>
      </c:barChart>
      <c:catAx>
        <c:axId val="18451574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5159087"/>
        <c:crosses val="autoZero"/>
        <c:auto val="1"/>
        <c:lblAlgn val="ctr"/>
        <c:lblOffset val="100"/>
        <c:noMultiLvlLbl val="0"/>
      </c:catAx>
      <c:valAx>
        <c:axId val="1845159087"/>
        <c:scaling>
          <c:orientation val="minMax"/>
          <c:max val="5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515743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Ln(UVolRB)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AB59-AA4B-9918-7F14AC102C29}"/>
              </c:ext>
            </c:extLst>
          </c:dPt>
          <c:dPt>
            <c:idx val="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B59-AA4B-9918-7F14AC102C29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AB59-AA4B-9918-7F14AC102C29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B59-AA4B-9918-7F14AC102C29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AB59-AA4B-9918-7F14AC102C29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AB59-AA4B-9918-7F14AC102C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6"/>
                <c:pt idx="0">
                  <c:v>7.7229354522293334E-2</c:v>
                </c:pt>
                <c:pt idx="1">
                  <c:v>7.215117319213972E-2</c:v>
                </c:pt>
                <c:pt idx="2">
                  <c:v>7.5065436541112293E-2</c:v>
                </c:pt>
                <c:pt idx="3">
                  <c:v>7.1235114882222006E-2</c:v>
                </c:pt>
                <c:pt idx="4">
                  <c:v>7.1250845996727069E-2</c:v>
                </c:pt>
                <c:pt idx="5">
                  <c:v>7.5096212101206122E-2</c:v>
                </c:pt>
              </c:numLit>
            </c:plus>
            <c:minus>
              <c:numLit>
                <c:formatCode>General</c:formatCode>
                <c:ptCount val="6"/>
                <c:pt idx="0">
                  <c:v>7.7229354522293334E-2</c:v>
                </c:pt>
                <c:pt idx="1">
                  <c:v>7.215117319213972E-2</c:v>
                </c:pt>
                <c:pt idx="2">
                  <c:v>7.5065436541112307E-2</c:v>
                </c:pt>
                <c:pt idx="3">
                  <c:v>7.1235114882222006E-2</c:v>
                </c:pt>
                <c:pt idx="4">
                  <c:v>7.1250845996727069E-2</c:v>
                </c:pt>
                <c:pt idx="5">
                  <c:v>7.5096212101206122E-2</c:v>
                </c:pt>
              </c:numLit>
            </c:minus>
          </c:errBars>
          <c:cat>
            <c:strRef>
              <c:f>'Regr-SalesRB'!$B$82:$B$87</c:f>
              <c:strCache>
                <c:ptCount val="6"/>
                <c:pt idx="0">
                  <c:v>Ln(PriceDiG)</c:v>
                </c:pt>
                <c:pt idx="1">
                  <c:v>Ln(PriceFre)</c:v>
                </c:pt>
                <c:pt idx="2">
                  <c:v>Ln(PriceJO)</c:v>
                </c:pt>
                <c:pt idx="3">
                  <c:v>Ln(PriceRB)</c:v>
                </c:pt>
                <c:pt idx="4">
                  <c:v>Ln(PriceTomb)</c:v>
                </c:pt>
                <c:pt idx="5">
                  <c:v>Ln(PriceTO)</c:v>
                </c:pt>
              </c:strCache>
            </c:strRef>
          </c:cat>
          <c:val>
            <c:numRef>
              <c:f>'Regr-SalesRB'!$C$82:$C$87</c:f>
              <c:numCache>
                <c:formatCode>0.000</c:formatCode>
                <c:ptCount val="6"/>
                <c:pt idx="0">
                  <c:v>9.7235293067296127E-2</c:v>
                </c:pt>
                <c:pt idx="1">
                  <c:v>6.3055203392971701E-2</c:v>
                </c:pt>
                <c:pt idx="2">
                  <c:v>9.2185986805127476E-2</c:v>
                </c:pt>
                <c:pt idx="3">
                  <c:v>-0.88367674087413728</c:v>
                </c:pt>
                <c:pt idx="4">
                  <c:v>0.10376949169434418</c:v>
                </c:pt>
                <c:pt idx="5">
                  <c:v>1.5199250252227195E-2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59-AA4B-9918-7F14AC102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52880175"/>
        <c:axId val="1852881823"/>
      </c:barChart>
      <c:catAx>
        <c:axId val="1852880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52881823"/>
        <c:crosses val="autoZero"/>
        <c:auto val="1"/>
        <c:lblAlgn val="ctr"/>
        <c:lblOffset val="100"/>
        <c:noMultiLvlLbl val="0"/>
      </c:catAx>
      <c:valAx>
        <c:axId val="185288182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5288017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Ln(UVolRB)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'Regr-SalesRB'!$D$115:$D$270</c:f>
              <c:numCache>
                <c:formatCode>0.000</c:formatCode>
                <c:ptCount val="156"/>
                <c:pt idx="0">
                  <c:v>8.8101612682972554</c:v>
                </c:pt>
                <c:pt idx="1">
                  <c:v>8.5151911887455647</c:v>
                </c:pt>
                <c:pt idx="2">
                  <c:v>8.6448825525571262</c:v>
                </c:pt>
                <c:pt idx="3">
                  <c:v>10.08134080799053</c:v>
                </c:pt>
                <c:pt idx="4">
                  <c:v>8.7473520776243525</c:v>
                </c:pt>
                <c:pt idx="5">
                  <c:v>10.16681289348317</c:v>
                </c:pt>
                <c:pt idx="6">
                  <c:v>9.188708071849069</c:v>
                </c:pt>
                <c:pt idx="7">
                  <c:v>8.8604991676160161</c:v>
                </c:pt>
                <c:pt idx="8">
                  <c:v>8.6319494287144263</c:v>
                </c:pt>
                <c:pt idx="9">
                  <c:v>8.7861510548697392</c:v>
                </c:pt>
                <c:pt idx="10">
                  <c:v>10.604726902993409</c:v>
                </c:pt>
                <c:pt idx="11">
                  <c:v>8.6821990260005037</c:v>
                </c:pt>
                <c:pt idx="12">
                  <c:v>8.8016199711473462</c:v>
                </c:pt>
                <c:pt idx="13">
                  <c:v>9.311271090554623</c:v>
                </c:pt>
                <c:pt idx="14">
                  <c:v>9.3877331355333844</c:v>
                </c:pt>
                <c:pt idx="15">
                  <c:v>9.1315135914302115</c:v>
                </c:pt>
                <c:pt idx="16">
                  <c:v>8.4757460015020634</c:v>
                </c:pt>
                <c:pt idx="17">
                  <c:v>8.4945385008514318</c:v>
                </c:pt>
                <c:pt idx="18">
                  <c:v>8.3790798892866025</c:v>
                </c:pt>
                <c:pt idx="19">
                  <c:v>9.6361961697320808</c:v>
                </c:pt>
                <c:pt idx="20">
                  <c:v>8.7766300984277166</c:v>
                </c:pt>
                <c:pt idx="21">
                  <c:v>8.3101690219819115</c:v>
                </c:pt>
                <c:pt idx="22">
                  <c:v>10.824487180138018</c:v>
                </c:pt>
                <c:pt idx="23">
                  <c:v>8.3829758492964288</c:v>
                </c:pt>
                <c:pt idx="24">
                  <c:v>8.4744944368831217</c:v>
                </c:pt>
                <c:pt idx="25">
                  <c:v>9.6413432638721854</c:v>
                </c:pt>
                <c:pt idx="26">
                  <c:v>8.4815660137730866</c:v>
                </c:pt>
                <c:pt idx="27">
                  <c:v>8.5682664616002384</c:v>
                </c:pt>
                <c:pt idx="28">
                  <c:v>9.2085387500295539</c:v>
                </c:pt>
                <c:pt idx="29">
                  <c:v>8.6425916008105705</c:v>
                </c:pt>
                <c:pt idx="30">
                  <c:v>8.5235727983802771</c:v>
                </c:pt>
                <c:pt idx="31">
                  <c:v>8.4084937744928965</c:v>
                </c:pt>
                <c:pt idx="32">
                  <c:v>8.4387991239882254</c:v>
                </c:pt>
                <c:pt idx="33">
                  <c:v>8.4519077247176071</c:v>
                </c:pt>
                <c:pt idx="34">
                  <c:v>9.9636885552268843</c:v>
                </c:pt>
                <c:pt idx="35">
                  <c:v>8.4625257900739292</c:v>
                </c:pt>
                <c:pt idx="36">
                  <c:v>9.5366179621873268</c:v>
                </c:pt>
                <c:pt idx="37">
                  <c:v>8.6128669414845191</c:v>
                </c:pt>
                <c:pt idx="38">
                  <c:v>11.269349588141523</c:v>
                </c:pt>
                <c:pt idx="39">
                  <c:v>8.9825610922574448</c:v>
                </c:pt>
                <c:pt idx="40">
                  <c:v>8.8306891987609983</c:v>
                </c:pt>
                <c:pt idx="41">
                  <c:v>10.260252492425103</c:v>
                </c:pt>
                <c:pt idx="42">
                  <c:v>8.7800188878691525</c:v>
                </c:pt>
                <c:pt idx="43">
                  <c:v>8.5750846698320142</c:v>
                </c:pt>
                <c:pt idx="44">
                  <c:v>8.3723986065130038</c:v>
                </c:pt>
                <c:pt idx="45">
                  <c:v>8.8548076326162271</c:v>
                </c:pt>
                <c:pt idx="46">
                  <c:v>8.5105713151073505</c:v>
                </c:pt>
                <c:pt idx="47">
                  <c:v>10.400711085883833</c:v>
                </c:pt>
                <c:pt idx="48">
                  <c:v>8.7879833961978004</c:v>
                </c:pt>
                <c:pt idx="49">
                  <c:v>9.6774648604710745</c:v>
                </c:pt>
                <c:pt idx="50">
                  <c:v>10.799759233696244</c:v>
                </c:pt>
                <c:pt idx="51">
                  <c:v>10.457832330215615</c:v>
                </c:pt>
                <c:pt idx="52">
                  <c:v>8.7687298172316659</c:v>
                </c:pt>
                <c:pt idx="53">
                  <c:v>8.6738550014296152</c:v>
                </c:pt>
                <c:pt idx="54">
                  <c:v>8.7334329664136519</c:v>
                </c:pt>
                <c:pt idx="55">
                  <c:v>10.237850423151144</c:v>
                </c:pt>
                <c:pt idx="56">
                  <c:v>8.690305809124883</c:v>
                </c:pt>
                <c:pt idx="57">
                  <c:v>8.7242073608005644</c:v>
                </c:pt>
                <c:pt idx="58">
                  <c:v>8.8895839917949733</c:v>
                </c:pt>
                <c:pt idx="59">
                  <c:v>8.794067065151415</c:v>
                </c:pt>
                <c:pt idx="60">
                  <c:v>10.0165929986414</c:v>
                </c:pt>
                <c:pt idx="61">
                  <c:v>8.718663567048953</c:v>
                </c:pt>
                <c:pt idx="62">
                  <c:v>9.1024210297566892</c:v>
                </c:pt>
                <c:pt idx="63">
                  <c:v>10.489550510486399</c:v>
                </c:pt>
                <c:pt idx="64">
                  <c:v>9.462731997649378</c:v>
                </c:pt>
                <c:pt idx="65">
                  <c:v>8.9258531904209217</c:v>
                </c:pt>
                <c:pt idx="66">
                  <c:v>8.765146421639022</c:v>
                </c:pt>
                <c:pt idx="67">
                  <c:v>9.8126324341920412</c:v>
                </c:pt>
                <c:pt idx="68">
                  <c:v>9.3392611520430222</c:v>
                </c:pt>
                <c:pt idx="69">
                  <c:v>10.375239652315981</c:v>
                </c:pt>
                <c:pt idx="70">
                  <c:v>8.8819751842488674</c:v>
                </c:pt>
                <c:pt idx="71">
                  <c:v>8.6052040687389511</c:v>
                </c:pt>
                <c:pt idx="72">
                  <c:v>9.6466579435671118</c:v>
                </c:pt>
                <c:pt idx="73">
                  <c:v>8.7955822169564257</c:v>
                </c:pt>
                <c:pt idx="74">
                  <c:v>8.7242073608005644</c:v>
                </c:pt>
                <c:pt idx="75">
                  <c:v>8.481358738407021</c:v>
                </c:pt>
                <c:pt idx="76">
                  <c:v>8.6307004322098315</c:v>
                </c:pt>
                <c:pt idx="77">
                  <c:v>10.86032504105607</c:v>
                </c:pt>
                <c:pt idx="78">
                  <c:v>8.7503662783676255</c:v>
                </c:pt>
                <c:pt idx="79">
                  <c:v>8.6704291673150955</c:v>
                </c:pt>
                <c:pt idx="80">
                  <c:v>9.7583461668664579</c:v>
                </c:pt>
                <c:pt idx="81">
                  <c:v>8.7097950576177485</c:v>
                </c:pt>
                <c:pt idx="82">
                  <c:v>10.846205976245562</c:v>
                </c:pt>
                <c:pt idx="83">
                  <c:v>8.6693991243055688</c:v>
                </c:pt>
                <c:pt idx="84">
                  <c:v>8.6399416566752905</c:v>
                </c:pt>
                <c:pt idx="85">
                  <c:v>8.5063344480813612</c:v>
                </c:pt>
                <c:pt idx="86">
                  <c:v>8.4992328660392449</c:v>
                </c:pt>
                <c:pt idx="87">
                  <c:v>9.6306940925780982</c:v>
                </c:pt>
                <c:pt idx="88">
                  <c:v>9.1405614773682657</c:v>
                </c:pt>
                <c:pt idx="89">
                  <c:v>9.2229604033322854</c:v>
                </c:pt>
                <c:pt idx="90">
                  <c:v>9.1762663916424305</c:v>
                </c:pt>
                <c:pt idx="91">
                  <c:v>9.0028240765476717</c:v>
                </c:pt>
                <c:pt idx="92">
                  <c:v>8.5718707527069338</c:v>
                </c:pt>
                <c:pt idx="93">
                  <c:v>10.108141214536493</c:v>
                </c:pt>
                <c:pt idx="94">
                  <c:v>8.6452345412971212</c:v>
                </c:pt>
                <c:pt idx="95">
                  <c:v>8.668196064952765</c:v>
                </c:pt>
                <c:pt idx="96">
                  <c:v>8.5861593958809603</c:v>
                </c:pt>
                <c:pt idx="97">
                  <c:v>9.8410800924075108</c:v>
                </c:pt>
                <c:pt idx="98">
                  <c:v>8.4694724552048264</c:v>
                </c:pt>
                <c:pt idx="99">
                  <c:v>8.5527533668147875</c:v>
                </c:pt>
                <c:pt idx="100">
                  <c:v>10.655328079435291</c:v>
                </c:pt>
                <c:pt idx="101">
                  <c:v>8.8028231597418873</c:v>
                </c:pt>
                <c:pt idx="102">
                  <c:v>8.5673158008194488</c:v>
                </c:pt>
                <c:pt idx="103">
                  <c:v>9.6776528834104276</c:v>
                </c:pt>
                <c:pt idx="104">
                  <c:v>8.8837788614634849</c:v>
                </c:pt>
                <c:pt idx="105">
                  <c:v>8.6588663497323832</c:v>
                </c:pt>
                <c:pt idx="106">
                  <c:v>8.7352035906186991</c:v>
                </c:pt>
                <c:pt idx="107">
                  <c:v>8.7314977940632428</c:v>
                </c:pt>
                <c:pt idx="108">
                  <c:v>10.03884852046658</c:v>
                </c:pt>
                <c:pt idx="109">
                  <c:v>8.920789888464375</c:v>
                </c:pt>
                <c:pt idx="110">
                  <c:v>8.7390559228307243</c:v>
                </c:pt>
                <c:pt idx="111">
                  <c:v>10.237492462093485</c:v>
                </c:pt>
                <c:pt idx="112">
                  <c:v>8.9308909844508779</c:v>
                </c:pt>
                <c:pt idx="113">
                  <c:v>8.7913339933013503</c:v>
                </c:pt>
                <c:pt idx="114">
                  <c:v>10.601473009736322</c:v>
                </c:pt>
                <c:pt idx="115">
                  <c:v>8.6649233034405722</c:v>
                </c:pt>
                <c:pt idx="116">
                  <c:v>8.7031747090416793</c:v>
                </c:pt>
                <c:pt idx="117">
                  <c:v>10.076095417142444</c:v>
                </c:pt>
                <c:pt idx="118">
                  <c:v>8.8982289856012269</c:v>
                </c:pt>
                <c:pt idx="119">
                  <c:v>10.418464547424595</c:v>
                </c:pt>
                <c:pt idx="120">
                  <c:v>8.8062742847817255</c:v>
                </c:pt>
                <c:pt idx="121">
                  <c:v>8.7314977940632428</c:v>
                </c:pt>
                <c:pt idx="122">
                  <c:v>8.8569457561590212</c:v>
                </c:pt>
                <c:pt idx="123">
                  <c:v>8.8386968123435299</c:v>
                </c:pt>
                <c:pt idx="124">
                  <c:v>9.9602458863547376</c:v>
                </c:pt>
                <c:pt idx="125">
                  <c:v>8.920789888464375</c:v>
                </c:pt>
                <c:pt idx="126">
                  <c:v>8.5451973878258354</c:v>
                </c:pt>
                <c:pt idx="127">
                  <c:v>8.6934966758846297</c:v>
                </c:pt>
                <c:pt idx="128">
                  <c:v>8.5782882907760492</c:v>
                </c:pt>
                <c:pt idx="129">
                  <c:v>10.509332404693277</c:v>
                </c:pt>
                <c:pt idx="130">
                  <c:v>8.7155521259078164</c:v>
                </c:pt>
                <c:pt idx="131">
                  <c:v>8.6135936857025523</c:v>
                </c:pt>
                <c:pt idx="132">
                  <c:v>8.4896164236460034</c:v>
                </c:pt>
                <c:pt idx="133">
                  <c:v>10.857305256301004</c:v>
                </c:pt>
                <c:pt idx="134">
                  <c:v>8.7942186836794889</c:v>
                </c:pt>
                <c:pt idx="135">
                  <c:v>8.574329382787047</c:v>
                </c:pt>
                <c:pt idx="136">
                  <c:v>8.4220030044124883</c:v>
                </c:pt>
                <c:pt idx="137">
                  <c:v>8.5814816812985999</c:v>
                </c:pt>
                <c:pt idx="138">
                  <c:v>10.033111320329633</c:v>
                </c:pt>
                <c:pt idx="139">
                  <c:v>8.680331928793418</c:v>
                </c:pt>
                <c:pt idx="140">
                  <c:v>8.8920616255469351</c:v>
                </c:pt>
                <c:pt idx="141">
                  <c:v>8.6141383974727166</c:v>
                </c:pt>
                <c:pt idx="142">
                  <c:v>8.7801726512276463</c:v>
                </c:pt>
                <c:pt idx="143">
                  <c:v>9.7173386809077869</c:v>
                </c:pt>
                <c:pt idx="144">
                  <c:v>8.8681317135030326</c:v>
                </c:pt>
                <c:pt idx="145">
                  <c:v>8.8754269198189633</c:v>
                </c:pt>
                <c:pt idx="146">
                  <c:v>8.7527395094474905</c:v>
                </c:pt>
                <c:pt idx="147">
                  <c:v>10.873868663307157</c:v>
                </c:pt>
                <c:pt idx="148">
                  <c:v>8.8651704196517738</c:v>
                </c:pt>
                <c:pt idx="149">
                  <c:v>8.6238928100752936</c:v>
                </c:pt>
                <c:pt idx="150">
                  <c:v>8.912473274466036</c:v>
                </c:pt>
                <c:pt idx="151">
                  <c:v>8.9728443144375731</c:v>
                </c:pt>
                <c:pt idx="152">
                  <c:v>10.097778851943309</c:v>
                </c:pt>
                <c:pt idx="153">
                  <c:v>8.7702838190983989</c:v>
                </c:pt>
                <c:pt idx="154">
                  <c:v>8.9571241364056799</c:v>
                </c:pt>
                <c:pt idx="155">
                  <c:v>8.97322466309509</c:v>
                </c:pt>
              </c:numCache>
            </c:numRef>
          </c:xVal>
          <c:yVal>
            <c:numRef>
              <c:f>'Regr-SalesRB'!$G$115:$G$270</c:f>
              <c:numCache>
                <c:formatCode>0.000</c:formatCode>
                <c:ptCount val="156"/>
                <c:pt idx="0">
                  <c:v>-0.22411378733988843</c:v>
                </c:pt>
                <c:pt idx="1">
                  <c:v>-1.149928627254676</c:v>
                </c:pt>
                <c:pt idx="2">
                  <c:v>-0.3808141508710905</c:v>
                </c:pt>
                <c:pt idx="3">
                  <c:v>1.718806022121125</c:v>
                </c:pt>
                <c:pt idx="4">
                  <c:v>-0.35506423721513403</c:v>
                </c:pt>
                <c:pt idx="5">
                  <c:v>0.73217732406514568</c:v>
                </c:pt>
                <c:pt idx="6">
                  <c:v>-0.93132151673596453</c:v>
                </c:pt>
                <c:pt idx="7">
                  <c:v>-0.36811674696870783</c:v>
                </c:pt>
                <c:pt idx="8">
                  <c:v>-0.60635554098053879</c:v>
                </c:pt>
                <c:pt idx="9">
                  <c:v>-0.34695883145796652</c:v>
                </c:pt>
                <c:pt idx="10">
                  <c:v>0.65153914847517158</c:v>
                </c:pt>
                <c:pt idx="11">
                  <c:v>-1.4681943001789772</c:v>
                </c:pt>
                <c:pt idx="12">
                  <c:v>-1.5580633051834361</c:v>
                </c:pt>
                <c:pt idx="13">
                  <c:v>-0.67969618328164538</c:v>
                </c:pt>
                <c:pt idx="14">
                  <c:v>-0.61288060378348208</c:v>
                </c:pt>
                <c:pt idx="15">
                  <c:v>-0.44089817087242228</c:v>
                </c:pt>
                <c:pt idx="16">
                  <c:v>-1.3546172628210185</c:v>
                </c:pt>
                <c:pt idx="17">
                  <c:v>-1.2031806615135774</c:v>
                </c:pt>
                <c:pt idx="18">
                  <c:v>-1.3132383809557371</c:v>
                </c:pt>
                <c:pt idx="19">
                  <c:v>0.40625066353304168</c:v>
                </c:pt>
                <c:pt idx="20">
                  <c:v>9.2990974592846692E-2</c:v>
                </c:pt>
                <c:pt idx="21">
                  <c:v>-1.8777352391121924</c:v>
                </c:pt>
                <c:pt idx="22">
                  <c:v>0.1269096297376538</c:v>
                </c:pt>
                <c:pt idx="23">
                  <c:v>-1.3141084903700484</c:v>
                </c:pt>
                <c:pt idx="24">
                  <c:v>-1.1311266517244165</c:v>
                </c:pt>
                <c:pt idx="25">
                  <c:v>0.39991151845797185</c:v>
                </c:pt>
                <c:pt idx="26">
                  <c:v>-1.2664654996455906</c:v>
                </c:pt>
                <c:pt idx="27">
                  <c:v>-1.0205336655472337</c:v>
                </c:pt>
                <c:pt idx="28">
                  <c:v>0.5910383711342454</c:v>
                </c:pt>
                <c:pt idx="29">
                  <c:v>-0.69168050208205922</c:v>
                </c:pt>
                <c:pt idx="30">
                  <c:v>4.8940029903053142E-2</c:v>
                </c:pt>
                <c:pt idx="31">
                  <c:v>-0.52150716296847077</c:v>
                </c:pt>
                <c:pt idx="32">
                  <c:v>-0.46697355508839999</c:v>
                </c:pt>
                <c:pt idx="33">
                  <c:v>2.6763607272309635E-2</c:v>
                </c:pt>
                <c:pt idx="34">
                  <c:v>0.88037674777731667</c:v>
                </c:pt>
                <c:pt idx="35">
                  <c:v>-0.5852668083168977</c:v>
                </c:pt>
                <c:pt idx="36">
                  <c:v>-2.6557626632136486E-2</c:v>
                </c:pt>
                <c:pt idx="37">
                  <c:v>0.47044008518230029</c:v>
                </c:pt>
                <c:pt idx="38">
                  <c:v>1.2464336739880175</c:v>
                </c:pt>
                <c:pt idx="39">
                  <c:v>-0.32936657791085155</c:v>
                </c:pt>
                <c:pt idx="40">
                  <c:v>6.4762542633580264E-2</c:v>
                </c:pt>
                <c:pt idx="41">
                  <c:v>1.3710017846224489</c:v>
                </c:pt>
                <c:pt idx="42">
                  <c:v>0.2083166945046741</c:v>
                </c:pt>
                <c:pt idx="43">
                  <c:v>0.18570341013712713</c:v>
                </c:pt>
                <c:pt idx="44">
                  <c:v>-0.15827570662315779</c:v>
                </c:pt>
                <c:pt idx="45">
                  <c:v>-0.45974075352432175</c:v>
                </c:pt>
                <c:pt idx="46">
                  <c:v>0.55618603574845782</c:v>
                </c:pt>
                <c:pt idx="47">
                  <c:v>1.3230089253651678</c:v>
                </c:pt>
                <c:pt idx="48">
                  <c:v>-9.8675269030101931E-2</c:v>
                </c:pt>
                <c:pt idx="49">
                  <c:v>1.2509498660353897</c:v>
                </c:pt>
                <c:pt idx="50">
                  <c:v>2.0064454516624401</c:v>
                </c:pt>
                <c:pt idx="51">
                  <c:v>0.93267119825878719</c:v>
                </c:pt>
                <c:pt idx="52">
                  <c:v>0.23366258098494488</c:v>
                </c:pt>
                <c:pt idx="53">
                  <c:v>-2.9749603680880941E-2</c:v>
                </c:pt>
                <c:pt idx="54">
                  <c:v>0.93179884920793432</c:v>
                </c:pt>
                <c:pt idx="55">
                  <c:v>1.0676475560547802</c:v>
                </c:pt>
                <c:pt idx="56">
                  <c:v>-0.33432395945995647</c:v>
                </c:pt>
                <c:pt idx="57">
                  <c:v>-7.8540126650675585E-2</c:v>
                </c:pt>
                <c:pt idx="58">
                  <c:v>1.0218312940612957</c:v>
                </c:pt>
                <c:pt idx="59">
                  <c:v>7.5639108445435962E-2</c:v>
                </c:pt>
                <c:pt idx="60">
                  <c:v>0.75832168226027863</c:v>
                </c:pt>
                <c:pt idx="61">
                  <c:v>-0.19188644415402645</c:v>
                </c:pt>
                <c:pt idx="62">
                  <c:v>1.2192454496487075</c:v>
                </c:pt>
                <c:pt idx="63">
                  <c:v>1.8145717080895081E-2</c:v>
                </c:pt>
                <c:pt idx="64">
                  <c:v>-1.5857847902548603</c:v>
                </c:pt>
                <c:pt idx="65">
                  <c:v>-0.26250019225019672</c:v>
                </c:pt>
                <c:pt idx="66">
                  <c:v>-0.46012127891338489</c:v>
                </c:pt>
                <c:pt idx="67">
                  <c:v>-6.3795559359844989E-2</c:v>
                </c:pt>
                <c:pt idx="68">
                  <c:v>0.14856336257950858</c:v>
                </c:pt>
                <c:pt idx="69">
                  <c:v>-3.3023930519463098</c:v>
                </c:pt>
                <c:pt idx="70">
                  <c:v>0.66584327625393214</c:v>
                </c:pt>
                <c:pt idx="71">
                  <c:v>-0.17985391009915555</c:v>
                </c:pt>
                <c:pt idx="72">
                  <c:v>6.284999713097171E-2</c:v>
                </c:pt>
                <c:pt idx="73">
                  <c:v>0.20500275983200963</c:v>
                </c:pt>
                <c:pt idx="74">
                  <c:v>-0.14696143465676845</c:v>
                </c:pt>
                <c:pt idx="75">
                  <c:v>-0.56946705030939571</c:v>
                </c:pt>
                <c:pt idx="76">
                  <c:v>-6.5320783560040035E-2</c:v>
                </c:pt>
                <c:pt idx="77">
                  <c:v>-0.12440118453365283</c:v>
                </c:pt>
                <c:pt idx="78">
                  <c:v>-1.0495614136985623</c:v>
                </c:pt>
                <c:pt idx="79">
                  <c:v>-7.5441584141059781E-2</c:v>
                </c:pt>
                <c:pt idx="80">
                  <c:v>-0.37654304665410571</c:v>
                </c:pt>
                <c:pt idx="81">
                  <c:v>0.28842669454131392</c:v>
                </c:pt>
                <c:pt idx="82">
                  <c:v>-0.20302620255846923</c:v>
                </c:pt>
                <c:pt idx="83">
                  <c:v>-1.5386978909181557</c:v>
                </c:pt>
                <c:pt idx="84">
                  <c:v>-0.29914141606623645</c:v>
                </c:pt>
                <c:pt idx="85">
                  <c:v>-0.50920108490110494</c:v>
                </c:pt>
                <c:pt idx="86">
                  <c:v>-0.71179076997988278</c:v>
                </c:pt>
                <c:pt idx="87">
                  <c:v>-0.52649681353949385</c:v>
                </c:pt>
                <c:pt idx="88">
                  <c:v>-1.1547712137496386</c:v>
                </c:pt>
                <c:pt idx="89">
                  <c:v>-0.67428249314337985</c:v>
                </c:pt>
                <c:pt idx="90">
                  <c:v>-0.8367956060961439</c:v>
                </c:pt>
                <c:pt idx="91">
                  <c:v>-1.1104457454087961</c:v>
                </c:pt>
                <c:pt idx="92">
                  <c:v>-0.44464724343825285</c:v>
                </c:pt>
                <c:pt idx="93">
                  <c:v>0.60801511005708742</c:v>
                </c:pt>
                <c:pt idx="94">
                  <c:v>-1.5145878474257026</c:v>
                </c:pt>
                <c:pt idx="95">
                  <c:v>-0.25562394087987239</c:v>
                </c:pt>
                <c:pt idx="96">
                  <c:v>0.14219616648403191</c:v>
                </c:pt>
                <c:pt idx="97">
                  <c:v>0.38402939843685574</c:v>
                </c:pt>
                <c:pt idx="98">
                  <c:v>-0.15849565293088544</c:v>
                </c:pt>
                <c:pt idx="99">
                  <c:v>-0.10413770143504653</c:v>
                </c:pt>
                <c:pt idx="100">
                  <c:v>5.6133678938832512</c:v>
                </c:pt>
                <c:pt idx="101">
                  <c:v>0.96269022419508143</c:v>
                </c:pt>
                <c:pt idx="102">
                  <c:v>-0.30981280263194494</c:v>
                </c:pt>
                <c:pt idx="103">
                  <c:v>-0.17181797098991425</c:v>
                </c:pt>
                <c:pt idx="104">
                  <c:v>-0.39436431093237162</c:v>
                </c:pt>
                <c:pt idx="105">
                  <c:v>-0.43708576105978053</c:v>
                </c:pt>
                <c:pt idx="106">
                  <c:v>0.12639444557726739</c:v>
                </c:pt>
                <c:pt idx="107">
                  <c:v>8.9733717373729621E-2</c:v>
                </c:pt>
                <c:pt idx="108">
                  <c:v>0.61564996158540641</c:v>
                </c:pt>
                <c:pt idx="109">
                  <c:v>-4.7773572429531723E-2</c:v>
                </c:pt>
                <c:pt idx="110">
                  <c:v>-0.56062610057834916</c:v>
                </c:pt>
                <c:pt idx="111">
                  <c:v>2.0767276887443571E-2</c:v>
                </c:pt>
                <c:pt idx="112">
                  <c:v>0.58262673752607064</c:v>
                </c:pt>
                <c:pt idx="113">
                  <c:v>0.3983724794879458</c:v>
                </c:pt>
                <c:pt idx="114">
                  <c:v>5.5159514556502502</c:v>
                </c:pt>
                <c:pt idx="115">
                  <c:v>1.7224108409037355</c:v>
                </c:pt>
                <c:pt idx="116">
                  <c:v>0.40200552278921298</c:v>
                </c:pt>
                <c:pt idx="117">
                  <c:v>0.76018934454076315</c:v>
                </c:pt>
                <c:pt idx="118">
                  <c:v>0.59401057310831051</c:v>
                </c:pt>
                <c:pt idx="119">
                  <c:v>0.45884965456196586</c:v>
                </c:pt>
                <c:pt idx="120">
                  <c:v>-5.5924498381347963E-2</c:v>
                </c:pt>
                <c:pt idx="121">
                  <c:v>-9.8582967670195323E-2</c:v>
                </c:pt>
                <c:pt idx="122">
                  <c:v>-0.1529890846109371</c:v>
                </c:pt>
                <c:pt idx="123">
                  <c:v>-0.35898210257419416</c:v>
                </c:pt>
                <c:pt idx="124">
                  <c:v>-0.76444990787695166</c:v>
                </c:pt>
                <c:pt idx="125">
                  <c:v>-0.37415878803396951</c:v>
                </c:pt>
                <c:pt idx="126">
                  <c:v>-0.40875731220360856</c:v>
                </c:pt>
                <c:pt idx="127">
                  <c:v>-0.17220845729589901</c:v>
                </c:pt>
                <c:pt idx="128">
                  <c:v>-0.30853517290255905</c:v>
                </c:pt>
                <c:pt idx="129">
                  <c:v>7.1302220118544507E-2</c:v>
                </c:pt>
                <c:pt idx="130">
                  <c:v>9.3321874964127791E-2</c:v>
                </c:pt>
                <c:pt idx="131">
                  <c:v>-0.14655570616213606</c:v>
                </c:pt>
                <c:pt idx="132">
                  <c:v>-0.60146562918220015</c:v>
                </c:pt>
                <c:pt idx="133">
                  <c:v>0.57549765748085535</c:v>
                </c:pt>
                <c:pt idx="134">
                  <c:v>-0.42856124738237267</c:v>
                </c:pt>
                <c:pt idx="135">
                  <c:v>-0.14494835760264008</c:v>
                </c:pt>
                <c:pt idx="136">
                  <c:v>9.8460795565753264E-3</c:v>
                </c:pt>
                <c:pt idx="137">
                  <c:v>0.3056838695686443</c:v>
                </c:pt>
                <c:pt idx="138">
                  <c:v>0.80399250865825167</c:v>
                </c:pt>
                <c:pt idx="139">
                  <c:v>0.31929765122031767</c:v>
                </c:pt>
                <c:pt idx="140">
                  <c:v>0.1166613391776494</c:v>
                </c:pt>
                <c:pt idx="141">
                  <c:v>0.19862092063963765</c:v>
                </c:pt>
                <c:pt idx="142">
                  <c:v>-2.2221023962692245E-2</c:v>
                </c:pt>
                <c:pt idx="143">
                  <c:v>-0.44090742648865294</c:v>
                </c:pt>
                <c:pt idx="144">
                  <c:v>0.37705525893081848</c:v>
                </c:pt>
                <c:pt idx="145">
                  <c:v>0.16940657177469062</c:v>
                </c:pt>
                <c:pt idx="146">
                  <c:v>1.0138522961631475</c:v>
                </c:pt>
                <c:pt idx="147">
                  <c:v>0.71138618287210598</c:v>
                </c:pt>
                <c:pt idx="148">
                  <c:v>8.8058740272820721E-2</c:v>
                </c:pt>
                <c:pt idx="149">
                  <c:v>0.31541852024032319</c:v>
                </c:pt>
                <c:pt idx="150">
                  <c:v>0.25724331318532212</c:v>
                </c:pt>
                <c:pt idx="151">
                  <c:v>0.36805026786472866</c:v>
                </c:pt>
                <c:pt idx="152">
                  <c:v>0.39773145197468684</c:v>
                </c:pt>
                <c:pt idx="153">
                  <c:v>-0.14770309587587468</c:v>
                </c:pt>
                <c:pt idx="154">
                  <c:v>0.42783859049917233</c:v>
                </c:pt>
                <c:pt idx="155">
                  <c:v>0.82254599811105822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5-F04A-A7DD-D15ABE4373C7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8.5151911887455647</c:v>
              </c:pt>
            </c:numLit>
          </c:xVal>
          <c:yVal>
            <c:numLit>
              <c:formatCode>General</c:formatCode>
              <c:ptCount val="1"/>
              <c:pt idx="0">
                <c:v>-1.149928627254676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5F5-F04A-A7DD-D15ABE437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263887"/>
        <c:axId val="1806506767"/>
      </c:scatterChart>
      <c:valAx>
        <c:axId val="1795263887"/>
        <c:scaling>
          <c:orientation val="minMax"/>
          <c:max val="11.5"/>
          <c:min val="8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Ln(UVolRB)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06506767"/>
        <c:crosses val="autoZero"/>
        <c:crossBetween val="midCat"/>
      </c:valAx>
      <c:valAx>
        <c:axId val="1806506767"/>
        <c:scaling>
          <c:orientation val="minMax"/>
          <c:max val="6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9526388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Pred(Ln(UVolRB))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'Regr-SalesRB'!$E$115:$E$270</c:f>
              <c:numCache>
                <c:formatCode>0.000</c:formatCode>
                <c:ptCount val="156"/>
                <c:pt idx="0">
                  <c:v>8.8805580792459082</c:v>
                </c:pt>
                <c:pt idx="1">
                  <c:v>8.8763974721167944</c:v>
                </c:pt>
                <c:pt idx="2">
                  <c:v>8.7645008147963299</c:v>
                </c:pt>
                <c:pt idx="3">
                  <c:v>9.5414433566429171</c:v>
                </c:pt>
                <c:pt idx="4">
                  <c:v>8.8588819851706191</c:v>
                </c:pt>
                <c:pt idx="5">
                  <c:v>9.9368272720053845</c:v>
                </c:pt>
                <c:pt idx="6">
                  <c:v>9.4812472570739548</c:v>
                </c:pt>
                <c:pt idx="7">
                  <c:v>8.9761290239982472</c:v>
                </c:pt>
                <c:pt idx="8">
                  <c:v>8.8224129289422759</c:v>
                </c:pt>
                <c:pt idx="9">
                  <c:v>8.895134957890706</c:v>
                </c:pt>
                <c:pt idx="10">
                  <c:v>10.400070693282881</c:v>
                </c:pt>
                <c:pt idx="11">
                  <c:v>9.1433763494145257</c:v>
                </c:pt>
                <c:pt idx="12">
                  <c:v>9.2910262198342597</c:v>
                </c:pt>
                <c:pt idx="13">
                  <c:v>9.5247717603926301</c:v>
                </c:pt>
                <c:pt idx="14">
                  <c:v>9.5802462357346183</c:v>
                </c:pt>
                <c:pt idx="15">
                  <c:v>9.2700049602608185</c:v>
                </c:pt>
                <c:pt idx="16">
                  <c:v>8.9012474241966419</c:v>
                </c:pt>
                <c:pt idx="17">
                  <c:v>8.8724718826883606</c:v>
                </c:pt>
                <c:pt idx="18">
                  <c:v>8.7915837121524874</c:v>
                </c:pt>
                <c:pt idx="19">
                  <c:v>9.508587995786371</c:v>
                </c:pt>
                <c:pt idx="20">
                  <c:v>8.7474205253084349</c:v>
                </c:pt>
                <c:pt idx="21">
                  <c:v>8.899988034048901</c:v>
                </c:pt>
                <c:pt idx="22">
                  <c:v>10.784623353292524</c:v>
                </c:pt>
                <c:pt idx="23">
                  <c:v>8.7957529838968167</c:v>
                </c:pt>
                <c:pt idx="24">
                  <c:v>8.8297947957122904</c:v>
                </c:pt>
                <c:pt idx="25">
                  <c:v>9.5157262909263007</c:v>
                </c:pt>
                <c:pt idx="26">
                  <c:v>8.879377917314434</c:v>
                </c:pt>
                <c:pt idx="27">
                  <c:v>8.8888282457412071</c:v>
                </c:pt>
                <c:pt idx="28">
                  <c:v>9.0228865553565143</c:v>
                </c:pt>
                <c:pt idx="29">
                  <c:v>8.8598566879785192</c:v>
                </c:pt>
                <c:pt idx="30">
                  <c:v>8.5082001518608479</c:v>
                </c:pt>
                <c:pt idx="31">
                  <c:v>8.5723053882075941</c:v>
                </c:pt>
                <c:pt idx="32">
                  <c:v>8.5854810816926967</c:v>
                </c:pt>
                <c:pt idx="33">
                  <c:v>8.4435009567814809</c:v>
                </c:pt>
                <c:pt idx="34">
                  <c:v>9.6871517289455191</c:v>
                </c:pt>
                <c:pt idx="35">
                  <c:v>8.6463650680971114</c:v>
                </c:pt>
                <c:pt idx="36">
                  <c:v>9.5449600291500882</c:v>
                </c:pt>
                <c:pt idx="37">
                  <c:v>8.4650961053733926</c:v>
                </c:pt>
                <c:pt idx="38">
                  <c:v>10.877829919721052</c:v>
                </c:pt>
                <c:pt idx="39">
                  <c:v>9.0860190588252525</c:v>
                </c:pt>
                <c:pt idx="40">
                  <c:v>8.8103465124655944</c:v>
                </c:pt>
                <c:pt idx="41">
                  <c:v>9.829604496208967</c:v>
                </c:pt>
                <c:pt idx="42">
                  <c:v>8.7145841320044752</c:v>
                </c:pt>
                <c:pt idx="43">
                  <c:v>8.516753016027435</c:v>
                </c:pt>
                <c:pt idx="44">
                  <c:v>8.4221148918391577</c:v>
                </c:pt>
                <c:pt idx="45">
                  <c:v>8.9992176811696414</c:v>
                </c:pt>
                <c:pt idx="46">
                  <c:v>8.3358666542491378</c:v>
                </c:pt>
                <c:pt idx="47">
                  <c:v>9.9851382186016266</c:v>
                </c:pt>
                <c:pt idx="48">
                  <c:v>8.8189784739289383</c:v>
                </c:pt>
                <c:pt idx="49">
                  <c:v>9.2845266023175022</c:v>
                </c:pt>
                <c:pt idx="50">
                  <c:v>10.169510810268145</c:v>
                </c:pt>
                <c:pt idx="51">
                  <c:v>10.164869193942778</c:v>
                </c:pt>
                <c:pt idx="52">
                  <c:v>8.6953336164239712</c:v>
                </c:pt>
                <c:pt idx="53">
                  <c:v>8.6831997064162127</c:v>
                </c:pt>
                <c:pt idx="54">
                  <c:v>8.4407438453718413</c:v>
                </c:pt>
                <c:pt idx="55">
                  <c:v>9.9024896046335655</c:v>
                </c:pt>
                <c:pt idx="56">
                  <c:v>8.7953209483051165</c:v>
                </c:pt>
                <c:pt idx="57">
                  <c:v>8.74887775039746</c:v>
                </c:pt>
                <c:pt idx="58">
                  <c:v>8.5686146070763236</c:v>
                </c:pt>
                <c:pt idx="59">
                  <c:v>8.7703079199387979</c:v>
                </c:pt>
                <c:pt idx="60">
                  <c:v>9.7783951227410633</c:v>
                </c:pt>
                <c:pt idx="61">
                  <c:v>8.7789373855099022</c:v>
                </c:pt>
                <c:pt idx="62">
                  <c:v>8.7194415065524566</c:v>
                </c:pt>
                <c:pt idx="63">
                  <c:v>10.483850724542689</c:v>
                </c:pt>
                <c:pt idx="64">
                  <c:v>9.9608458951023593</c:v>
                </c:pt>
                <c:pt idx="65">
                  <c:v>9.0083076285309556</c:v>
                </c:pt>
                <c:pt idx="66">
                  <c:v>8.909675997751151</c:v>
                </c:pt>
                <c:pt idx="67">
                  <c:v>9.8326713795194323</c:v>
                </c:pt>
                <c:pt idx="68">
                  <c:v>9.2925956297048327</c:v>
                </c:pt>
                <c:pt idx="69">
                  <c:v>11.412560658379011</c:v>
                </c:pt>
                <c:pt idx="70">
                  <c:v>8.6728258775674707</c:v>
                </c:pt>
                <c:pt idx="71">
                  <c:v>8.6616983248840427</c:v>
                </c:pt>
                <c:pt idx="72">
                  <c:v>9.6269160106023079</c:v>
                </c:pt>
                <c:pt idx="73">
                  <c:v>8.731188407458399</c:v>
                </c:pt>
                <c:pt idx="74">
                  <c:v>8.7703696984910398</c:v>
                </c:pt>
                <c:pt idx="75">
                  <c:v>8.6602351241838562</c:v>
                </c:pt>
                <c:pt idx="76">
                  <c:v>8.6512184686317504</c:v>
                </c:pt>
                <c:pt idx="77">
                  <c:v>10.899400935374533</c:v>
                </c:pt>
                <c:pt idx="78">
                  <c:v>9.0800460240723559</c:v>
                </c:pt>
                <c:pt idx="79">
                  <c:v>8.6941262677901801</c:v>
                </c:pt>
                <c:pt idx="80">
                  <c:v>9.8766228243803393</c:v>
                </c:pt>
                <c:pt idx="81">
                  <c:v>8.6191967962203968</c:v>
                </c:pt>
                <c:pt idx="82">
                  <c:v>10.90997892555303</c:v>
                </c:pt>
                <c:pt idx="83">
                  <c:v>9.1527224656303048</c:v>
                </c:pt>
                <c:pt idx="84">
                  <c:v>8.7339055397709338</c:v>
                </c:pt>
                <c:pt idx="85">
                  <c:v>8.6662805760465638</c:v>
                </c:pt>
                <c:pt idx="86">
                  <c:v>8.7228148279703817</c:v>
                </c:pt>
                <c:pt idx="87">
                  <c:v>9.7960730149894957</c:v>
                </c:pt>
                <c:pt idx="88">
                  <c:v>9.503288874857617</c:v>
                </c:pt>
                <c:pt idx="89">
                  <c:v>9.4347605685930347</c:v>
                </c:pt>
                <c:pt idx="90">
                  <c:v>9.4391138620467157</c:v>
                </c:pt>
                <c:pt idx="91">
                  <c:v>9.3516283162873908</c:v>
                </c:pt>
                <c:pt idx="92">
                  <c:v>8.71153974990116</c:v>
                </c:pt>
                <c:pt idx="93">
                  <c:v>9.9171564238877163</c:v>
                </c:pt>
                <c:pt idx="94">
                  <c:v>9.1209846306865447</c:v>
                </c:pt>
                <c:pt idx="95">
                  <c:v>8.7484905905759422</c:v>
                </c:pt>
                <c:pt idx="96">
                  <c:v>8.5414938857023373</c:v>
                </c:pt>
                <c:pt idx="97">
                  <c:v>9.7204518825978035</c:v>
                </c:pt>
                <c:pt idx="98">
                  <c:v>8.5192578282869267</c:v>
                </c:pt>
                <c:pt idx="99">
                  <c:v>8.5854642596499176</c:v>
                </c:pt>
                <c:pt idx="100">
                  <c:v>8.8921023399512826</c:v>
                </c:pt>
                <c:pt idx="101">
                  <c:v>8.500430689741826</c:v>
                </c:pt>
                <c:pt idx="102">
                  <c:v>8.6646316935863528</c:v>
                </c:pt>
                <c:pt idx="103">
                  <c:v>9.7316229553320373</c:v>
                </c:pt>
                <c:pt idx="104">
                  <c:v>9.0076533904298728</c:v>
                </c:pt>
                <c:pt idx="105">
                  <c:v>8.7961601952154762</c:v>
                </c:pt>
                <c:pt idx="106">
                  <c:v>8.6955015892564695</c:v>
                </c:pt>
                <c:pt idx="107">
                  <c:v>8.7033113642471331</c:v>
                </c:pt>
                <c:pt idx="108">
                  <c:v>9.8454655319824997</c:v>
                </c:pt>
                <c:pt idx="109">
                  <c:v>8.9357961367928773</c:v>
                </c:pt>
                <c:pt idx="110">
                  <c:v>8.9151552609559612</c:v>
                </c:pt>
                <c:pt idx="111">
                  <c:v>10.230969212978309</c:v>
                </c:pt>
                <c:pt idx="112">
                  <c:v>8.7478809841198846</c:v>
                </c:pt>
                <c:pt idx="113">
                  <c:v>8.6662004508338022</c:v>
                </c:pt>
                <c:pt idx="114">
                  <c:v>8.8688469342309482</c:v>
                </c:pt>
                <c:pt idx="115">
                  <c:v>8.1238935355614519</c:v>
                </c:pt>
                <c:pt idx="116">
                  <c:v>8.5768999843850153</c:v>
                </c:pt>
                <c:pt idx="117">
                  <c:v>9.8373108862663656</c:v>
                </c:pt>
                <c:pt idx="118">
                  <c:v>8.7116431868739568</c:v>
                </c:pt>
                <c:pt idx="119">
                  <c:v>10.274334403672817</c:v>
                </c:pt>
                <c:pt idx="120">
                  <c:v>8.8238408360710459</c:v>
                </c:pt>
                <c:pt idx="121">
                  <c:v>8.7624638788374511</c:v>
                </c:pt>
                <c:pt idx="122">
                  <c:v>8.9050014505203414</c:v>
                </c:pt>
                <c:pt idx="123">
                  <c:v>8.9514573680809573</c:v>
                </c:pt>
                <c:pt idx="124">
                  <c:v>10.200368710939884</c:v>
                </c:pt>
                <c:pt idx="125">
                  <c:v>9.0383176219369172</c:v>
                </c:pt>
                <c:pt idx="126">
                  <c:v>8.6735929299860182</c:v>
                </c:pt>
                <c:pt idx="127">
                  <c:v>8.7475894042076447</c:v>
                </c:pt>
                <c:pt idx="128">
                  <c:v>8.6752028648218271</c:v>
                </c:pt>
                <c:pt idx="129">
                  <c:v>10.48693552777873</c:v>
                </c:pt>
                <c:pt idx="130">
                  <c:v>8.686238613039194</c:v>
                </c:pt>
                <c:pt idx="131">
                  <c:v>8.6596285792385554</c:v>
                </c:pt>
                <c:pt idx="132">
                  <c:v>8.678543944314054</c:v>
                </c:pt>
                <c:pt idx="133">
                  <c:v>10.676534584956137</c:v>
                </c:pt>
                <c:pt idx="134">
                  <c:v>8.9288348778458086</c:v>
                </c:pt>
                <c:pt idx="135">
                  <c:v>8.6198593889887434</c:v>
                </c:pt>
                <c:pt idx="136">
                  <c:v>8.4189102335064376</c:v>
                </c:pt>
                <c:pt idx="137">
                  <c:v>8.485462735603658</c:v>
                </c:pt>
                <c:pt idx="138">
                  <c:v>9.7805676936838015</c:v>
                </c:pt>
                <c:pt idx="139">
                  <c:v>8.5800367320716902</c:v>
                </c:pt>
                <c:pt idx="140">
                  <c:v>8.8554169088760659</c:v>
                </c:pt>
                <c:pt idx="141">
                  <c:v>8.5517491997054655</c:v>
                </c:pt>
                <c:pt idx="142">
                  <c:v>8.7871525396207453</c:v>
                </c:pt>
                <c:pt idx="143">
                  <c:v>9.8558329570377339</c:v>
                </c:pt>
                <c:pt idx="144">
                  <c:v>8.7496941640099593</c:v>
                </c:pt>
                <c:pt idx="145">
                  <c:v>8.8222142971229935</c:v>
                </c:pt>
                <c:pt idx="146">
                  <c:v>8.4342764230394565</c:v>
                </c:pt>
                <c:pt idx="147">
                  <c:v>10.650413787007281</c:v>
                </c:pt>
                <c:pt idx="148">
                  <c:v>8.8375101201006316</c:v>
                </c:pt>
                <c:pt idx="149">
                  <c:v>8.5248160946147369</c:v>
                </c:pt>
                <c:pt idx="150">
                  <c:v>8.8316700847066834</c:v>
                </c:pt>
                <c:pt idx="151">
                  <c:v>8.8572353399340091</c:v>
                </c:pt>
                <c:pt idx="152">
                  <c:v>9.9728466638556021</c:v>
                </c:pt>
                <c:pt idx="153">
                  <c:v>8.8166791214147864</c:v>
                </c:pt>
                <c:pt idx="154">
                  <c:v>8.822734937376925</c:v>
                </c:pt>
                <c:pt idx="155">
                  <c:v>8.7148531643448699</c:v>
                </c:pt>
              </c:numCache>
            </c:numRef>
          </c:xVal>
          <c:yVal>
            <c:numRef>
              <c:f>'Regr-SalesRB'!$G$115:$G$270</c:f>
              <c:numCache>
                <c:formatCode>0.000</c:formatCode>
                <c:ptCount val="156"/>
                <c:pt idx="0">
                  <c:v>-0.22411378733988843</c:v>
                </c:pt>
                <c:pt idx="1">
                  <c:v>-1.149928627254676</c:v>
                </c:pt>
                <c:pt idx="2">
                  <c:v>-0.3808141508710905</c:v>
                </c:pt>
                <c:pt idx="3">
                  <c:v>1.718806022121125</c:v>
                </c:pt>
                <c:pt idx="4">
                  <c:v>-0.35506423721513403</c:v>
                </c:pt>
                <c:pt idx="5">
                  <c:v>0.73217732406514568</c:v>
                </c:pt>
                <c:pt idx="6">
                  <c:v>-0.93132151673596453</c:v>
                </c:pt>
                <c:pt idx="7">
                  <c:v>-0.36811674696870783</c:v>
                </c:pt>
                <c:pt idx="8">
                  <c:v>-0.60635554098053879</c:v>
                </c:pt>
                <c:pt idx="9">
                  <c:v>-0.34695883145796652</c:v>
                </c:pt>
                <c:pt idx="10">
                  <c:v>0.65153914847517158</c:v>
                </c:pt>
                <c:pt idx="11">
                  <c:v>-1.4681943001789772</c:v>
                </c:pt>
                <c:pt idx="12">
                  <c:v>-1.5580633051834361</c:v>
                </c:pt>
                <c:pt idx="13">
                  <c:v>-0.67969618328164538</c:v>
                </c:pt>
                <c:pt idx="14">
                  <c:v>-0.61288060378348208</c:v>
                </c:pt>
                <c:pt idx="15">
                  <c:v>-0.44089817087242228</c:v>
                </c:pt>
                <c:pt idx="16">
                  <c:v>-1.3546172628210185</c:v>
                </c:pt>
                <c:pt idx="17">
                  <c:v>-1.2031806615135774</c:v>
                </c:pt>
                <c:pt idx="18">
                  <c:v>-1.3132383809557371</c:v>
                </c:pt>
                <c:pt idx="19">
                  <c:v>0.40625066353304168</c:v>
                </c:pt>
                <c:pt idx="20">
                  <c:v>9.2990974592846692E-2</c:v>
                </c:pt>
                <c:pt idx="21">
                  <c:v>-1.8777352391121924</c:v>
                </c:pt>
                <c:pt idx="22">
                  <c:v>0.1269096297376538</c:v>
                </c:pt>
                <c:pt idx="23">
                  <c:v>-1.3141084903700484</c:v>
                </c:pt>
                <c:pt idx="24">
                  <c:v>-1.1311266517244165</c:v>
                </c:pt>
                <c:pt idx="25">
                  <c:v>0.39991151845797185</c:v>
                </c:pt>
                <c:pt idx="26">
                  <c:v>-1.2664654996455906</c:v>
                </c:pt>
                <c:pt idx="27">
                  <c:v>-1.0205336655472337</c:v>
                </c:pt>
                <c:pt idx="28">
                  <c:v>0.5910383711342454</c:v>
                </c:pt>
                <c:pt idx="29">
                  <c:v>-0.69168050208205922</c:v>
                </c:pt>
                <c:pt idx="30">
                  <c:v>4.8940029903053142E-2</c:v>
                </c:pt>
                <c:pt idx="31">
                  <c:v>-0.52150716296847077</c:v>
                </c:pt>
                <c:pt idx="32">
                  <c:v>-0.46697355508839999</c:v>
                </c:pt>
                <c:pt idx="33">
                  <c:v>2.6763607272309635E-2</c:v>
                </c:pt>
                <c:pt idx="34">
                  <c:v>0.88037674777731667</c:v>
                </c:pt>
                <c:pt idx="35">
                  <c:v>-0.5852668083168977</c:v>
                </c:pt>
                <c:pt idx="36">
                  <c:v>-2.6557626632136486E-2</c:v>
                </c:pt>
                <c:pt idx="37">
                  <c:v>0.47044008518230029</c:v>
                </c:pt>
                <c:pt idx="38">
                  <c:v>1.2464336739880175</c:v>
                </c:pt>
                <c:pt idx="39">
                  <c:v>-0.32936657791085155</c:v>
                </c:pt>
                <c:pt idx="40">
                  <c:v>6.4762542633580264E-2</c:v>
                </c:pt>
                <c:pt idx="41">
                  <c:v>1.3710017846224489</c:v>
                </c:pt>
                <c:pt idx="42">
                  <c:v>0.2083166945046741</c:v>
                </c:pt>
                <c:pt idx="43">
                  <c:v>0.18570341013712713</c:v>
                </c:pt>
                <c:pt idx="44">
                  <c:v>-0.15827570662315779</c:v>
                </c:pt>
                <c:pt idx="45">
                  <c:v>-0.45974075352432175</c:v>
                </c:pt>
                <c:pt idx="46">
                  <c:v>0.55618603574845782</c:v>
                </c:pt>
                <c:pt idx="47">
                  <c:v>1.3230089253651678</c:v>
                </c:pt>
                <c:pt idx="48">
                  <c:v>-9.8675269030101931E-2</c:v>
                </c:pt>
                <c:pt idx="49">
                  <c:v>1.2509498660353897</c:v>
                </c:pt>
                <c:pt idx="50">
                  <c:v>2.0064454516624401</c:v>
                </c:pt>
                <c:pt idx="51">
                  <c:v>0.93267119825878719</c:v>
                </c:pt>
                <c:pt idx="52">
                  <c:v>0.23366258098494488</c:v>
                </c:pt>
                <c:pt idx="53">
                  <c:v>-2.9749603680880941E-2</c:v>
                </c:pt>
                <c:pt idx="54">
                  <c:v>0.93179884920793432</c:v>
                </c:pt>
                <c:pt idx="55">
                  <c:v>1.0676475560547802</c:v>
                </c:pt>
                <c:pt idx="56">
                  <c:v>-0.33432395945995647</c:v>
                </c:pt>
                <c:pt idx="57">
                  <c:v>-7.8540126650675585E-2</c:v>
                </c:pt>
                <c:pt idx="58">
                  <c:v>1.0218312940612957</c:v>
                </c:pt>
                <c:pt idx="59">
                  <c:v>7.5639108445435962E-2</c:v>
                </c:pt>
                <c:pt idx="60">
                  <c:v>0.75832168226027863</c:v>
                </c:pt>
                <c:pt idx="61">
                  <c:v>-0.19188644415402645</c:v>
                </c:pt>
                <c:pt idx="62">
                  <c:v>1.2192454496487075</c:v>
                </c:pt>
                <c:pt idx="63">
                  <c:v>1.8145717080895081E-2</c:v>
                </c:pt>
                <c:pt idx="64">
                  <c:v>-1.5857847902548603</c:v>
                </c:pt>
                <c:pt idx="65">
                  <c:v>-0.26250019225019672</c:v>
                </c:pt>
                <c:pt idx="66">
                  <c:v>-0.46012127891338489</c:v>
                </c:pt>
                <c:pt idx="67">
                  <c:v>-6.3795559359844989E-2</c:v>
                </c:pt>
                <c:pt idx="68">
                  <c:v>0.14856336257950858</c:v>
                </c:pt>
                <c:pt idx="69">
                  <c:v>-3.3023930519463098</c:v>
                </c:pt>
                <c:pt idx="70">
                  <c:v>0.66584327625393214</c:v>
                </c:pt>
                <c:pt idx="71">
                  <c:v>-0.17985391009915555</c:v>
                </c:pt>
                <c:pt idx="72">
                  <c:v>6.284999713097171E-2</c:v>
                </c:pt>
                <c:pt idx="73">
                  <c:v>0.20500275983200963</c:v>
                </c:pt>
                <c:pt idx="74">
                  <c:v>-0.14696143465676845</c:v>
                </c:pt>
                <c:pt idx="75">
                  <c:v>-0.56946705030939571</c:v>
                </c:pt>
                <c:pt idx="76">
                  <c:v>-6.5320783560040035E-2</c:v>
                </c:pt>
                <c:pt idx="77">
                  <c:v>-0.12440118453365283</c:v>
                </c:pt>
                <c:pt idx="78">
                  <c:v>-1.0495614136985623</c:v>
                </c:pt>
                <c:pt idx="79">
                  <c:v>-7.5441584141059781E-2</c:v>
                </c:pt>
                <c:pt idx="80">
                  <c:v>-0.37654304665410571</c:v>
                </c:pt>
                <c:pt idx="81">
                  <c:v>0.28842669454131392</c:v>
                </c:pt>
                <c:pt idx="82">
                  <c:v>-0.20302620255846923</c:v>
                </c:pt>
                <c:pt idx="83">
                  <c:v>-1.5386978909181557</c:v>
                </c:pt>
                <c:pt idx="84">
                  <c:v>-0.29914141606623645</c:v>
                </c:pt>
                <c:pt idx="85">
                  <c:v>-0.50920108490110494</c:v>
                </c:pt>
                <c:pt idx="86">
                  <c:v>-0.71179076997988278</c:v>
                </c:pt>
                <c:pt idx="87">
                  <c:v>-0.52649681353949385</c:v>
                </c:pt>
                <c:pt idx="88">
                  <c:v>-1.1547712137496386</c:v>
                </c:pt>
                <c:pt idx="89">
                  <c:v>-0.67428249314337985</c:v>
                </c:pt>
                <c:pt idx="90">
                  <c:v>-0.8367956060961439</c:v>
                </c:pt>
                <c:pt idx="91">
                  <c:v>-1.1104457454087961</c:v>
                </c:pt>
                <c:pt idx="92">
                  <c:v>-0.44464724343825285</c:v>
                </c:pt>
                <c:pt idx="93">
                  <c:v>0.60801511005708742</c:v>
                </c:pt>
                <c:pt idx="94">
                  <c:v>-1.5145878474257026</c:v>
                </c:pt>
                <c:pt idx="95">
                  <c:v>-0.25562394087987239</c:v>
                </c:pt>
                <c:pt idx="96">
                  <c:v>0.14219616648403191</c:v>
                </c:pt>
                <c:pt idx="97">
                  <c:v>0.38402939843685574</c:v>
                </c:pt>
                <c:pt idx="98">
                  <c:v>-0.15849565293088544</c:v>
                </c:pt>
                <c:pt idx="99">
                  <c:v>-0.10413770143504653</c:v>
                </c:pt>
                <c:pt idx="100">
                  <c:v>5.6133678938832512</c:v>
                </c:pt>
                <c:pt idx="101">
                  <c:v>0.96269022419508143</c:v>
                </c:pt>
                <c:pt idx="102">
                  <c:v>-0.30981280263194494</c:v>
                </c:pt>
                <c:pt idx="103">
                  <c:v>-0.17181797098991425</c:v>
                </c:pt>
                <c:pt idx="104">
                  <c:v>-0.39436431093237162</c:v>
                </c:pt>
                <c:pt idx="105">
                  <c:v>-0.43708576105978053</c:v>
                </c:pt>
                <c:pt idx="106">
                  <c:v>0.12639444557726739</c:v>
                </c:pt>
                <c:pt idx="107">
                  <c:v>8.9733717373729621E-2</c:v>
                </c:pt>
                <c:pt idx="108">
                  <c:v>0.61564996158540641</c:v>
                </c:pt>
                <c:pt idx="109">
                  <c:v>-4.7773572429531723E-2</c:v>
                </c:pt>
                <c:pt idx="110">
                  <c:v>-0.56062610057834916</c:v>
                </c:pt>
                <c:pt idx="111">
                  <c:v>2.0767276887443571E-2</c:v>
                </c:pt>
                <c:pt idx="112">
                  <c:v>0.58262673752607064</c:v>
                </c:pt>
                <c:pt idx="113">
                  <c:v>0.3983724794879458</c:v>
                </c:pt>
                <c:pt idx="114">
                  <c:v>5.5159514556502502</c:v>
                </c:pt>
                <c:pt idx="115">
                  <c:v>1.7224108409037355</c:v>
                </c:pt>
                <c:pt idx="116">
                  <c:v>0.40200552278921298</c:v>
                </c:pt>
                <c:pt idx="117">
                  <c:v>0.76018934454076315</c:v>
                </c:pt>
                <c:pt idx="118">
                  <c:v>0.59401057310831051</c:v>
                </c:pt>
                <c:pt idx="119">
                  <c:v>0.45884965456196586</c:v>
                </c:pt>
                <c:pt idx="120">
                  <c:v>-5.5924498381347963E-2</c:v>
                </c:pt>
                <c:pt idx="121">
                  <c:v>-9.8582967670195323E-2</c:v>
                </c:pt>
                <c:pt idx="122">
                  <c:v>-0.1529890846109371</c:v>
                </c:pt>
                <c:pt idx="123">
                  <c:v>-0.35898210257419416</c:v>
                </c:pt>
                <c:pt idx="124">
                  <c:v>-0.76444990787695166</c:v>
                </c:pt>
                <c:pt idx="125">
                  <c:v>-0.37415878803396951</c:v>
                </c:pt>
                <c:pt idx="126">
                  <c:v>-0.40875731220360856</c:v>
                </c:pt>
                <c:pt idx="127">
                  <c:v>-0.17220845729589901</c:v>
                </c:pt>
                <c:pt idx="128">
                  <c:v>-0.30853517290255905</c:v>
                </c:pt>
                <c:pt idx="129">
                  <c:v>7.1302220118544507E-2</c:v>
                </c:pt>
                <c:pt idx="130">
                  <c:v>9.3321874964127791E-2</c:v>
                </c:pt>
                <c:pt idx="131">
                  <c:v>-0.14655570616213606</c:v>
                </c:pt>
                <c:pt idx="132">
                  <c:v>-0.60146562918220015</c:v>
                </c:pt>
                <c:pt idx="133">
                  <c:v>0.57549765748085535</c:v>
                </c:pt>
                <c:pt idx="134">
                  <c:v>-0.42856124738237267</c:v>
                </c:pt>
                <c:pt idx="135">
                  <c:v>-0.14494835760264008</c:v>
                </c:pt>
                <c:pt idx="136">
                  <c:v>9.8460795565753264E-3</c:v>
                </c:pt>
                <c:pt idx="137">
                  <c:v>0.3056838695686443</c:v>
                </c:pt>
                <c:pt idx="138">
                  <c:v>0.80399250865825167</c:v>
                </c:pt>
                <c:pt idx="139">
                  <c:v>0.31929765122031767</c:v>
                </c:pt>
                <c:pt idx="140">
                  <c:v>0.1166613391776494</c:v>
                </c:pt>
                <c:pt idx="141">
                  <c:v>0.19862092063963765</c:v>
                </c:pt>
                <c:pt idx="142">
                  <c:v>-2.2221023962692245E-2</c:v>
                </c:pt>
                <c:pt idx="143">
                  <c:v>-0.44090742648865294</c:v>
                </c:pt>
                <c:pt idx="144">
                  <c:v>0.37705525893081848</c:v>
                </c:pt>
                <c:pt idx="145">
                  <c:v>0.16940657177469062</c:v>
                </c:pt>
                <c:pt idx="146">
                  <c:v>1.0138522961631475</c:v>
                </c:pt>
                <c:pt idx="147">
                  <c:v>0.71138618287210598</c:v>
                </c:pt>
                <c:pt idx="148">
                  <c:v>8.8058740272820721E-2</c:v>
                </c:pt>
                <c:pt idx="149">
                  <c:v>0.31541852024032319</c:v>
                </c:pt>
                <c:pt idx="150">
                  <c:v>0.25724331318532212</c:v>
                </c:pt>
                <c:pt idx="151">
                  <c:v>0.36805026786472866</c:v>
                </c:pt>
                <c:pt idx="152">
                  <c:v>0.39773145197468684</c:v>
                </c:pt>
                <c:pt idx="153">
                  <c:v>-0.14770309587587468</c:v>
                </c:pt>
                <c:pt idx="154">
                  <c:v>0.42783859049917233</c:v>
                </c:pt>
                <c:pt idx="155">
                  <c:v>0.82254599811105822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16-8B40-B6D8-926DD3A68555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8.8763974721167944</c:v>
              </c:pt>
            </c:numLit>
          </c:xVal>
          <c:yVal>
            <c:numLit>
              <c:formatCode>General</c:formatCode>
              <c:ptCount val="1"/>
              <c:pt idx="0">
                <c:v>-1.149928627254676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116-8B40-B6D8-926DD3A68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254127"/>
        <c:axId val="1795229103"/>
      </c:scatterChart>
      <c:valAx>
        <c:axId val="1795254127"/>
        <c:scaling>
          <c:orientation val="minMax"/>
          <c:max val="11.5"/>
          <c:min val="8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Pred(Ln(UVolRB))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95229103"/>
        <c:crosses val="autoZero"/>
        <c:crossBetween val="midCat"/>
      </c:valAx>
      <c:valAx>
        <c:axId val="1795229103"/>
        <c:scaling>
          <c:orientation val="minMax"/>
          <c:max val="6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952541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Pred(Ln(UVolRB)) - Ln(UVolRB)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'Regr-SalesRB'!$E$115:$E$270</c:f>
              <c:numCache>
                <c:formatCode>0.000</c:formatCode>
                <c:ptCount val="156"/>
                <c:pt idx="0">
                  <c:v>8.8805580792459082</c:v>
                </c:pt>
                <c:pt idx="1">
                  <c:v>8.8763974721167944</c:v>
                </c:pt>
                <c:pt idx="2">
                  <c:v>8.7645008147963299</c:v>
                </c:pt>
                <c:pt idx="3">
                  <c:v>9.5414433566429171</c:v>
                </c:pt>
                <c:pt idx="4">
                  <c:v>8.8588819851706191</c:v>
                </c:pt>
                <c:pt idx="5">
                  <c:v>9.9368272720053845</c:v>
                </c:pt>
                <c:pt idx="6">
                  <c:v>9.4812472570739548</c:v>
                </c:pt>
                <c:pt idx="7">
                  <c:v>8.9761290239982472</c:v>
                </c:pt>
                <c:pt idx="8">
                  <c:v>8.8224129289422759</c:v>
                </c:pt>
                <c:pt idx="9">
                  <c:v>8.895134957890706</c:v>
                </c:pt>
                <c:pt idx="10">
                  <c:v>10.400070693282881</c:v>
                </c:pt>
                <c:pt idx="11">
                  <c:v>9.1433763494145257</c:v>
                </c:pt>
                <c:pt idx="12">
                  <c:v>9.2910262198342597</c:v>
                </c:pt>
                <c:pt idx="13">
                  <c:v>9.5247717603926301</c:v>
                </c:pt>
                <c:pt idx="14">
                  <c:v>9.5802462357346183</c:v>
                </c:pt>
                <c:pt idx="15">
                  <c:v>9.2700049602608185</c:v>
                </c:pt>
                <c:pt idx="16">
                  <c:v>8.9012474241966419</c:v>
                </c:pt>
                <c:pt idx="17">
                  <c:v>8.8724718826883606</c:v>
                </c:pt>
                <c:pt idx="18">
                  <c:v>8.7915837121524874</c:v>
                </c:pt>
                <c:pt idx="19">
                  <c:v>9.508587995786371</c:v>
                </c:pt>
                <c:pt idx="20">
                  <c:v>8.7474205253084349</c:v>
                </c:pt>
                <c:pt idx="21">
                  <c:v>8.899988034048901</c:v>
                </c:pt>
                <c:pt idx="22">
                  <c:v>10.784623353292524</c:v>
                </c:pt>
                <c:pt idx="23">
                  <c:v>8.7957529838968167</c:v>
                </c:pt>
                <c:pt idx="24">
                  <c:v>8.8297947957122904</c:v>
                </c:pt>
                <c:pt idx="25">
                  <c:v>9.5157262909263007</c:v>
                </c:pt>
                <c:pt idx="26">
                  <c:v>8.879377917314434</c:v>
                </c:pt>
                <c:pt idx="27">
                  <c:v>8.8888282457412071</c:v>
                </c:pt>
                <c:pt idx="28">
                  <c:v>9.0228865553565143</c:v>
                </c:pt>
                <c:pt idx="29">
                  <c:v>8.8598566879785192</c:v>
                </c:pt>
                <c:pt idx="30">
                  <c:v>8.5082001518608479</c:v>
                </c:pt>
                <c:pt idx="31">
                  <c:v>8.5723053882075941</c:v>
                </c:pt>
                <c:pt idx="32">
                  <c:v>8.5854810816926967</c:v>
                </c:pt>
                <c:pt idx="33">
                  <c:v>8.4435009567814809</c:v>
                </c:pt>
                <c:pt idx="34">
                  <c:v>9.6871517289455191</c:v>
                </c:pt>
                <c:pt idx="35">
                  <c:v>8.6463650680971114</c:v>
                </c:pt>
                <c:pt idx="36">
                  <c:v>9.5449600291500882</c:v>
                </c:pt>
                <c:pt idx="37">
                  <c:v>8.4650961053733926</c:v>
                </c:pt>
                <c:pt idx="38">
                  <c:v>10.877829919721052</c:v>
                </c:pt>
                <c:pt idx="39">
                  <c:v>9.0860190588252525</c:v>
                </c:pt>
                <c:pt idx="40">
                  <c:v>8.8103465124655944</c:v>
                </c:pt>
                <c:pt idx="41">
                  <c:v>9.829604496208967</c:v>
                </c:pt>
                <c:pt idx="42">
                  <c:v>8.7145841320044752</c:v>
                </c:pt>
                <c:pt idx="43">
                  <c:v>8.516753016027435</c:v>
                </c:pt>
                <c:pt idx="44">
                  <c:v>8.4221148918391577</c:v>
                </c:pt>
                <c:pt idx="45">
                  <c:v>8.9992176811696414</c:v>
                </c:pt>
                <c:pt idx="46">
                  <c:v>8.3358666542491378</c:v>
                </c:pt>
                <c:pt idx="47">
                  <c:v>9.9851382186016266</c:v>
                </c:pt>
                <c:pt idx="48">
                  <c:v>8.8189784739289383</c:v>
                </c:pt>
                <c:pt idx="49">
                  <c:v>9.2845266023175022</c:v>
                </c:pt>
                <c:pt idx="50">
                  <c:v>10.169510810268145</c:v>
                </c:pt>
                <c:pt idx="51">
                  <c:v>10.164869193942778</c:v>
                </c:pt>
                <c:pt idx="52">
                  <c:v>8.6953336164239712</c:v>
                </c:pt>
                <c:pt idx="53">
                  <c:v>8.6831997064162127</c:v>
                </c:pt>
                <c:pt idx="54">
                  <c:v>8.4407438453718413</c:v>
                </c:pt>
                <c:pt idx="55">
                  <c:v>9.9024896046335655</c:v>
                </c:pt>
                <c:pt idx="56">
                  <c:v>8.7953209483051165</c:v>
                </c:pt>
                <c:pt idx="57">
                  <c:v>8.74887775039746</c:v>
                </c:pt>
                <c:pt idx="58">
                  <c:v>8.5686146070763236</c:v>
                </c:pt>
                <c:pt idx="59">
                  <c:v>8.7703079199387979</c:v>
                </c:pt>
                <c:pt idx="60">
                  <c:v>9.7783951227410633</c:v>
                </c:pt>
                <c:pt idx="61">
                  <c:v>8.7789373855099022</c:v>
                </c:pt>
                <c:pt idx="62">
                  <c:v>8.7194415065524566</c:v>
                </c:pt>
                <c:pt idx="63">
                  <c:v>10.483850724542689</c:v>
                </c:pt>
                <c:pt idx="64">
                  <c:v>9.9608458951023593</c:v>
                </c:pt>
                <c:pt idx="65">
                  <c:v>9.0083076285309556</c:v>
                </c:pt>
                <c:pt idx="66">
                  <c:v>8.909675997751151</c:v>
                </c:pt>
                <c:pt idx="67">
                  <c:v>9.8326713795194323</c:v>
                </c:pt>
                <c:pt idx="68">
                  <c:v>9.2925956297048327</c:v>
                </c:pt>
                <c:pt idx="69">
                  <c:v>11.412560658379011</c:v>
                </c:pt>
                <c:pt idx="70">
                  <c:v>8.6728258775674707</c:v>
                </c:pt>
                <c:pt idx="71">
                  <c:v>8.6616983248840427</c:v>
                </c:pt>
                <c:pt idx="72">
                  <c:v>9.6269160106023079</c:v>
                </c:pt>
                <c:pt idx="73">
                  <c:v>8.731188407458399</c:v>
                </c:pt>
                <c:pt idx="74">
                  <c:v>8.7703696984910398</c:v>
                </c:pt>
                <c:pt idx="75">
                  <c:v>8.6602351241838562</c:v>
                </c:pt>
                <c:pt idx="76">
                  <c:v>8.6512184686317504</c:v>
                </c:pt>
                <c:pt idx="77">
                  <c:v>10.899400935374533</c:v>
                </c:pt>
                <c:pt idx="78">
                  <c:v>9.0800460240723559</c:v>
                </c:pt>
                <c:pt idx="79">
                  <c:v>8.6941262677901801</c:v>
                </c:pt>
                <c:pt idx="80">
                  <c:v>9.8766228243803393</c:v>
                </c:pt>
                <c:pt idx="81">
                  <c:v>8.6191967962203968</c:v>
                </c:pt>
                <c:pt idx="82">
                  <c:v>10.90997892555303</c:v>
                </c:pt>
                <c:pt idx="83">
                  <c:v>9.1527224656303048</c:v>
                </c:pt>
                <c:pt idx="84">
                  <c:v>8.7339055397709338</c:v>
                </c:pt>
                <c:pt idx="85">
                  <c:v>8.6662805760465638</c:v>
                </c:pt>
                <c:pt idx="86">
                  <c:v>8.7228148279703817</c:v>
                </c:pt>
                <c:pt idx="87">
                  <c:v>9.7960730149894957</c:v>
                </c:pt>
                <c:pt idx="88">
                  <c:v>9.503288874857617</c:v>
                </c:pt>
                <c:pt idx="89">
                  <c:v>9.4347605685930347</c:v>
                </c:pt>
                <c:pt idx="90">
                  <c:v>9.4391138620467157</c:v>
                </c:pt>
                <c:pt idx="91">
                  <c:v>9.3516283162873908</c:v>
                </c:pt>
                <c:pt idx="92">
                  <c:v>8.71153974990116</c:v>
                </c:pt>
                <c:pt idx="93">
                  <c:v>9.9171564238877163</c:v>
                </c:pt>
                <c:pt idx="94">
                  <c:v>9.1209846306865447</c:v>
                </c:pt>
                <c:pt idx="95">
                  <c:v>8.7484905905759422</c:v>
                </c:pt>
                <c:pt idx="96">
                  <c:v>8.5414938857023373</c:v>
                </c:pt>
                <c:pt idx="97">
                  <c:v>9.7204518825978035</c:v>
                </c:pt>
                <c:pt idx="98">
                  <c:v>8.5192578282869267</c:v>
                </c:pt>
                <c:pt idx="99">
                  <c:v>8.5854642596499176</c:v>
                </c:pt>
                <c:pt idx="100">
                  <c:v>8.8921023399512826</c:v>
                </c:pt>
                <c:pt idx="101">
                  <c:v>8.500430689741826</c:v>
                </c:pt>
                <c:pt idx="102">
                  <c:v>8.6646316935863528</c:v>
                </c:pt>
                <c:pt idx="103">
                  <c:v>9.7316229553320373</c:v>
                </c:pt>
                <c:pt idx="104">
                  <c:v>9.0076533904298728</c:v>
                </c:pt>
                <c:pt idx="105">
                  <c:v>8.7961601952154762</c:v>
                </c:pt>
                <c:pt idx="106">
                  <c:v>8.6955015892564695</c:v>
                </c:pt>
                <c:pt idx="107">
                  <c:v>8.7033113642471331</c:v>
                </c:pt>
                <c:pt idx="108">
                  <c:v>9.8454655319824997</c:v>
                </c:pt>
                <c:pt idx="109">
                  <c:v>8.9357961367928773</c:v>
                </c:pt>
                <c:pt idx="110">
                  <c:v>8.9151552609559612</c:v>
                </c:pt>
                <c:pt idx="111">
                  <c:v>10.230969212978309</c:v>
                </c:pt>
                <c:pt idx="112">
                  <c:v>8.7478809841198846</c:v>
                </c:pt>
                <c:pt idx="113">
                  <c:v>8.6662004508338022</c:v>
                </c:pt>
                <c:pt idx="114">
                  <c:v>8.8688469342309482</c:v>
                </c:pt>
                <c:pt idx="115">
                  <c:v>8.1238935355614519</c:v>
                </c:pt>
                <c:pt idx="116">
                  <c:v>8.5768999843850153</c:v>
                </c:pt>
                <c:pt idx="117">
                  <c:v>9.8373108862663656</c:v>
                </c:pt>
                <c:pt idx="118">
                  <c:v>8.7116431868739568</c:v>
                </c:pt>
                <c:pt idx="119">
                  <c:v>10.274334403672817</c:v>
                </c:pt>
                <c:pt idx="120">
                  <c:v>8.8238408360710459</c:v>
                </c:pt>
                <c:pt idx="121">
                  <c:v>8.7624638788374511</c:v>
                </c:pt>
                <c:pt idx="122">
                  <c:v>8.9050014505203414</c:v>
                </c:pt>
                <c:pt idx="123">
                  <c:v>8.9514573680809573</c:v>
                </c:pt>
                <c:pt idx="124">
                  <c:v>10.200368710939884</c:v>
                </c:pt>
                <c:pt idx="125">
                  <c:v>9.0383176219369172</c:v>
                </c:pt>
                <c:pt idx="126">
                  <c:v>8.6735929299860182</c:v>
                </c:pt>
                <c:pt idx="127">
                  <c:v>8.7475894042076447</c:v>
                </c:pt>
                <c:pt idx="128">
                  <c:v>8.6752028648218271</c:v>
                </c:pt>
                <c:pt idx="129">
                  <c:v>10.48693552777873</c:v>
                </c:pt>
                <c:pt idx="130">
                  <c:v>8.686238613039194</c:v>
                </c:pt>
                <c:pt idx="131">
                  <c:v>8.6596285792385554</c:v>
                </c:pt>
                <c:pt idx="132">
                  <c:v>8.678543944314054</c:v>
                </c:pt>
                <c:pt idx="133">
                  <c:v>10.676534584956137</c:v>
                </c:pt>
                <c:pt idx="134">
                  <c:v>8.9288348778458086</c:v>
                </c:pt>
                <c:pt idx="135">
                  <c:v>8.6198593889887434</c:v>
                </c:pt>
                <c:pt idx="136">
                  <c:v>8.4189102335064376</c:v>
                </c:pt>
                <c:pt idx="137">
                  <c:v>8.485462735603658</c:v>
                </c:pt>
                <c:pt idx="138">
                  <c:v>9.7805676936838015</c:v>
                </c:pt>
                <c:pt idx="139">
                  <c:v>8.5800367320716902</c:v>
                </c:pt>
                <c:pt idx="140">
                  <c:v>8.8554169088760659</c:v>
                </c:pt>
                <c:pt idx="141">
                  <c:v>8.5517491997054655</c:v>
                </c:pt>
                <c:pt idx="142">
                  <c:v>8.7871525396207453</c:v>
                </c:pt>
                <c:pt idx="143">
                  <c:v>9.8558329570377339</c:v>
                </c:pt>
                <c:pt idx="144">
                  <c:v>8.7496941640099593</c:v>
                </c:pt>
                <c:pt idx="145">
                  <c:v>8.8222142971229935</c:v>
                </c:pt>
                <c:pt idx="146">
                  <c:v>8.4342764230394565</c:v>
                </c:pt>
                <c:pt idx="147">
                  <c:v>10.650413787007281</c:v>
                </c:pt>
                <c:pt idx="148">
                  <c:v>8.8375101201006316</c:v>
                </c:pt>
                <c:pt idx="149">
                  <c:v>8.5248160946147369</c:v>
                </c:pt>
                <c:pt idx="150">
                  <c:v>8.8316700847066834</c:v>
                </c:pt>
                <c:pt idx="151">
                  <c:v>8.8572353399340091</c:v>
                </c:pt>
                <c:pt idx="152">
                  <c:v>9.9728466638556021</c:v>
                </c:pt>
                <c:pt idx="153">
                  <c:v>8.8166791214147864</c:v>
                </c:pt>
                <c:pt idx="154">
                  <c:v>8.822734937376925</c:v>
                </c:pt>
                <c:pt idx="155">
                  <c:v>8.7148531643448699</c:v>
                </c:pt>
              </c:numCache>
            </c:numRef>
          </c:xVal>
          <c:yVal>
            <c:numRef>
              <c:f>'Regr-SalesRB'!$D$115:$D$270</c:f>
              <c:numCache>
                <c:formatCode>0.000</c:formatCode>
                <c:ptCount val="156"/>
                <c:pt idx="0">
                  <c:v>8.8101612682972554</c:v>
                </c:pt>
                <c:pt idx="1">
                  <c:v>8.5151911887455647</c:v>
                </c:pt>
                <c:pt idx="2">
                  <c:v>8.6448825525571262</c:v>
                </c:pt>
                <c:pt idx="3">
                  <c:v>10.08134080799053</c:v>
                </c:pt>
                <c:pt idx="4">
                  <c:v>8.7473520776243525</c:v>
                </c:pt>
                <c:pt idx="5">
                  <c:v>10.16681289348317</c:v>
                </c:pt>
                <c:pt idx="6">
                  <c:v>9.188708071849069</c:v>
                </c:pt>
                <c:pt idx="7">
                  <c:v>8.8604991676160161</c:v>
                </c:pt>
                <c:pt idx="8">
                  <c:v>8.6319494287144263</c:v>
                </c:pt>
                <c:pt idx="9">
                  <c:v>8.7861510548697392</c:v>
                </c:pt>
                <c:pt idx="10">
                  <c:v>10.604726902993409</c:v>
                </c:pt>
                <c:pt idx="11">
                  <c:v>8.6821990260005037</c:v>
                </c:pt>
                <c:pt idx="12">
                  <c:v>8.8016199711473462</c:v>
                </c:pt>
                <c:pt idx="13">
                  <c:v>9.311271090554623</c:v>
                </c:pt>
                <c:pt idx="14">
                  <c:v>9.3877331355333844</c:v>
                </c:pt>
                <c:pt idx="15">
                  <c:v>9.1315135914302115</c:v>
                </c:pt>
                <c:pt idx="16">
                  <c:v>8.4757460015020634</c:v>
                </c:pt>
                <c:pt idx="17">
                  <c:v>8.4945385008514318</c:v>
                </c:pt>
                <c:pt idx="18">
                  <c:v>8.3790798892866025</c:v>
                </c:pt>
                <c:pt idx="19">
                  <c:v>9.6361961697320808</c:v>
                </c:pt>
                <c:pt idx="20">
                  <c:v>8.7766300984277166</c:v>
                </c:pt>
                <c:pt idx="21">
                  <c:v>8.3101690219819115</c:v>
                </c:pt>
                <c:pt idx="22">
                  <c:v>10.824487180138018</c:v>
                </c:pt>
                <c:pt idx="23">
                  <c:v>8.3829758492964288</c:v>
                </c:pt>
                <c:pt idx="24">
                  <c:v>8.4744944368831217</c:v>
                </c:pt>
                <c:pt idx="25">
                  <c:v>9.6413432638721854</c:v>
                </c:pt>
                <c:pt idx="26">
                  <c:v>8.4815660137730866</c:v>
                </c:pt>
                <c:pt idx="27">
                  <c:v>8.5682664616002384</c:v>
                </c:pt>
                <c:pt idx="28">
                  <c:v>9.2085387500295539</c:v>
                </c:pt>
                <c:pt idx="29">
                  <c:v>8.6425916008105705</c:v>
                </c:pt>
                <c:pt idx="30">
                  <c:v>8.5235727983802771</c:v>
                </c:pt>
                <c:pt idx="31">
                  <c:v>8.4084937744928965</c:v>
                </c:pt>
                <c:pt idx="32">
                  <c:v>8.4387991239882254</c:v>
                </c:pt>
                <c:pt idx="33">
                  <c:v>8.4519077247176071</c:v>
                </c:pt>
                <c:pt idx="34">
                  <c:v>9.9636885552268843</c:v>
                </c:pt>
                <c:pt idx="35">
                  <c:v>8.4625257900739292</c:v>
                </c:pt>
                <c:pt idx="36">
                  <c:v>9.5366179621873268</c:v>
                </c:pt>
                <c:pt idx="37">
                  <c:v>8.6128669414845191</c:v>
                </c:pt>
                <c:pt idx="38">
                  <c:v>11.269349588141523</c:v>
                </c:pt>
                <c:pt idx="39">
                  <c:v>8.9825610922574448</c:v>
                </c:pt>
                <c:pt idx="40">
                  <c:v>8.8306891987609983</c:v>
                </c:pt>
                <c:pt idx="41">
                  <c:v>10.260252492425103</c:v>
                </c:pt>
                <c:pt idx="42">
                  <c:v>8.7800188878691525</c:v>
                </c:pt>
                <c:pt idx="43">
                  <c:v>8.5750846698320142</c:v>
                </c:pt>
                <c:pt idx="44">
                  <c:v>8.3723986065130038</c:v>
                </c:pt>
                <c:pt idx="45">
                  <c:v>8.8548076326162271</c:v>
                </c:pt>
                <c:pt idx="46">
                  <c:v>8.5105713151073505</c:v>
                </c:pt>
                <c:pt idx="47">
                  <c:v>10.400711085883833</c:v>
                </c:pt>
                <c:pt idx="48">
                  <c:v>8.7879833961978004</c:v>
                </c:pt>
                <c:pt idx="49">
                  <c:v>9.6774648604710745</c:v>
                </c:pt>
                <c:pt idx="50">
                  <c:v>10.799759233696244</c:v>
                </c:pt>
                <c:pt idx="51">
                  <c:v>10.457832330215615</c:v>
                </c:pt>
                <c:pt idx="52">
                  <c:v>8.7687298172316659</c:v>
                </c:pt>
                <c:pt idx="53">
                  <c:v>8.6738550014296152</c:v>
                </c:pt>
                <c:pt idx="54">
                  <c:v>8.7334329664136519</c:v>
                </c:pt>
                <c:pt idx="55">
                  <c:v>10.237850423151144</c:v>
                </c:pt>
                <c:pt idx="56">
                  <c:v>8.690305809124883</c:v>
                </c:pt>
                <c:pt idx="57">
                  <c:v>8.7242073608005644</c:v>
                </c:pt>
                <c:pt idx="58">
                  <c:v>8.8895839917949733</c:v>
                </c:pt>
                <c:pt idx="59">
                  <c:v>8.794067065151415</c:v>
                </c:pt>
                <c:pt idx="60">
                  <c:v>10.0165929986414</c:v>
                </c:pt>
                <c:pt idx="61">
                  <c:v>8.718663567048953</c:v>
                </c:pt>
                <c:pt idx="62">
                  <c:v>9.1024210297566892</c:v>
                </c:pt>
                <c:pt idx="63">
                  <c:v>10.489550510486399</c:v>
                </c:pt>
                <c:pt idx="64">
                  <c:v>9.462731997649378</c:v>
                </c:pt>
                <c:pt idx="65">
                  <c:v>8.9258531904209217</c:v>
                </c:pt>
                <c:pt idx="66">
                  <c:v>8.765146421639022</c:v>
                </c:pt>
                <c:pt idx="67">
                  <c:v>9.8126324341920412</c:v>
                </c:pt>
                <c:pt idx="68">
                  <c:v>9.3392611520430222</c:v>
                </c:pt>
                <c:pt idx="69">
                  <c:v>10.375239652315981</c:v>
                </c:pt>
                <c:pt idx="70">
                  <c:v>8.8819751842488674</c:v>
                </c:pt>
                <c:pt idx="71">
                  <c:v>8.6052040687389511</c:v>
                </c:pt>
                <c:pt idx="72">
                  <c:v>9.6466579435671118</c:v>
                </c:pt>
                <c:pt idx="73">
                  <c:v>8.7955822169564257</c:v>
                </c:pt>
                <c:pt idx="74">
                  <c:v>8.7242073608005644</c:v>
                </c:pt>
                <c:pt idx="75">
                  <c:v>8.481358738407021</c:v>
                </c:pt>
                <c:pt idx="76">
                  <c:v>8.6307004322098315</c:v>
                </c:pt>
                <c:pt idx="77">
                  <c:v>10.86032504105607</c:v>
                </c:pt>
                <c:pt idx="78">
                  <c:v>8.7503662783676255</c:v>
                </c:pt>
                <c:pt idx="79">
                  <c:v>8.6704291673150955</c:v>
                </c:pt>
                <c:pt idx="80">
                  <c:v>9.7583461668664579</c:v>
                </c:pt>
                <c:pt idx="81">
                  <c:v>8.7097950576177485</c:v>
                </c:pt>
                <c:pt idx="82">
                  <c:v>10.846205976245562</c:v>
                </c:pt>
                <c:pt idx="83">
                  <c:v>8.6693991243055688</c:v>
                </c:pt>
                <c:pt idx="84">
                  <c:v>8.6399416566752905</c:v>
                </c:pt>
                <c:pt idx="85">
                  <c:v>8.5063344480813612</c:v>
                </c:pt>
                <c:pt idx="86">
                  <c:v>8.4992328660392449</c:v>
                </c:pt>
                <c:pt idx="87">
                  <c:v>9.6306940925780982</c:v>
                </c:pt>
                <c:pt idx="88">
                  <c:v>9.1405614773682657</c:v>
                </c:pt>
                <c:pt idx="89">
                  <c:v>9.2229604033322854</c:v>
                </c:pt>
                <c:pt idx="90">
                  <c:v>9.1762663916424305</c:v>
                </c:pt>
                <c:pt idx="91">
                  <c:v>9.0028240765476717</c:v>
                </c:pt>
                <c:pt idx="92">
                  <c:v>8.5718707527069338</c:v>
                </c:pt>
                <c:pt idx="93">
                  <c:v>10.108141214536493</c:v>
                </c:pt>
                <c:pt idx="94">
                  <c:v>8.6452345412971212</c:v>
                </c:pt>
                <c:pt idx="95">
                  <c:v>8.668196064952765</c:v>
                </c:pt>
                <c:pt idx="96">
                  <c:v>8.5861593958809603</c:v>
                </c:pt>
                <c:pt idx="97">
                  <c:v>9.8410800924075108</c:v>
                </c:pt>
                <c:pt idx="98">
                  <c:v>8.4694724552048264</c:v>
                </c:pt>
                <c:pt idx="99">
                  <c:v>8.5527533668147875</c:v>
                </c:pt>
                <c:pt idx="100">
                  <c:v>10.655328079435291</c:v>
                </c:pt>
                <c:pt idx="101">
                  <c:v>8.8028231597418873</c:v>
                </c:pt>
                <c:pt idx="102">
                  <c:v>8.5673158008194488</c:v>
                </c:pt>
                <c:pt idx="103">
                  <c:v>9.6776528834104276</c:v>
                </c:pt>
                <c:pt idx="104">
                  <c:v>8.8837788614634849</c:v>
                </c:pt>
                <c:pt idx="105">
                  <c:v>8.6588663497323832</c:v>
                </c:pt>
                <c:pt idx="106">
                  <c:v>8.7352035906186991</c:v>
                </c:pt>
                <c:pt idx="107">
                  <c:v>8.7314977940632428</c:v>
                </c:pt>
                <c:pt idx="108">
                  <c:v>10.03884852046658</c:v>
                </c:pt>
                <c:pt idx="109">
                  <c:v>8.920789888464375</c:v>
                </c:pt>
                <c:pt idx="110">
                  <c:v>8.7390559228307243</c:v>
                </c:pt>
                <c:pt idx="111">
                  <c:v>10.237492462093485</c:v>
                </c:pt>
                <c:pt idx="112">
                  <c:v>8.9308909844508779</c:v>
                </c:pt>
                <c:pt idx="113">
                  <c:v>8.7913339933013503</c:v>
                </c:pt>
                <c:pt idx="114">
                  <c:v>10.601473009736322</c:v>
                </c:pt>
                <c:pt idx="115">
                  <c:v>8.6649233034405722</c:v>
                </c:pt>
                <c:pt idx="116">
                  <c:v>8.7031747090416793</c:v>
                </c:pt>
                <c:pt idx="117">
                  <c:v>10.076095417142444</c:v>
                </c:pt>
                <c:pt idx="118">
                  <c:v>8.8982289856012269</c:v>
                </c:pt>
                <c:pt idx="119">
                  <c:v>10.418464547424595</c:v>
                </c:pt>
                <c:pt idx="120">
                  <c:v>8.8062742847817255</c:v>
                </c:pt>
                <c:pt idx="121">
                  <c:v>8.7314977940632428</c:v>
                </c:pt>
                <c:pt idx="122">
                  <c:v>8.8569457561590212</c:v>
                </c:pt>
                <c:pt idx="123">
                  <c:v>8.8386968123435299</c:v>
                </c:pt>
                <c:pt idx="124">
                  <c:v>9.9602458863547376</c:v>
                </c:pt>
                <c:pt idx="125">
                  <c:v>8.920789888464375</c:v>
                </c:pt>
                <c:pt idx="126">
                  <c:v>8.5451973878258354</c:v>
                </c:pt>
                <c:pt idx="127">
                  <c:v>8.6934966758846297</c:v>
                </c:pt>
                <c:pt idx="128">
                  <c:v>8.5782882907760492</c:v>
                </c:pt>
                <c:pt idx="129">
                  <c:v>10.509332404693277</c:v>
                </c:pt>
                <c:pt idx="130">
                  <c:v>8.7155521259078164</c:v>
                </c:pt>
                <c:pt idx="131">
                  <c:v>8.6135936857025523</c:v>
                </c:pt>
                <c:pt idx="132">
                  <c:v>8.4896164236460034</c:v>
                </c:pt>
                <c:pt idx="133">
                  <c:v>10.857305256301004</c:v>
                </c:pt>
                <c:pt idx="134">
                  <c:v>8.7942186836794889</c:v>
                </c:pt>
                <c:pt idx="135">
                  <c:v>8.574329382787047</c:v>
                </c:pt>
                <c:pt idx="136">
                  <c:v>8.4220030044124883</c:v>
                </c:pt>
                <c:pt idx="137">
                  <c:v>8.5814816812985999</c:v>
                </c:pt>
                <c:pt idx="138">
                  <c:v>10.033111320329633</c:v>
                </c:pt>
                <c:pt idx="139">
                  <c:v>8.680331928793418</c:v>
                </c:pt>
                <c:pt idx="140">
                  <c:v>8.8920616255469351</c:v>
                </c:pt>
                <c:pt idx="141">
                  <c:v>8.6141383974727166</c:v>
                </c:pt>
                <c:pt idx="142">
                  <c:v>8.7801726512276463</c:v>
                </c:pt>
                <c:pt idx="143">
                  <c:v>9.7173386809077869</c:v>
                </c:pt>
                <c:pt idx="144">
                  <c:v>8.8681317135030326</c:v>
                </c:pt>
                <c:pt idx="145">
                  <c:v>8.8754269198189633</c:v>
                </c:pt>
                <c:pt idx="146">
                  <c:v>8.7527395094474905</c:v>
                </c:pt>
                <c:pt idx="147">
                  <c:v>10.873868663307157</c:v>
                </c:pt>
                <c:pt idx="148">
                  <c:v>8.8651704196517738</c:v>
                </c:pt>
                <c:pt idx="149">
                  <c:v>8.6238928100752936</c:v>
                </c:pt>
                <c:pt idx="150">
                  <c:v>8.912473274466036</c:v>
                </c:pt>
                <c:pt idx="151">
                  <c:v>8.9728443144375731</c:v>
                </c:pt>
                <c:pt idx="152">
                  <c:v>10.097778851943309</c:v>
                </c:pt>
                <c:pt idx="153">
                  <c:v>8.7702838190983989</c:v>
                </c:pt>
                <c:pt idx="154">
                  <c:v>8.9571241364056799</c:v>
                </c:pt>
                <c:pt idx="155">
                  <c:v>8.97322466309509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EA-8F4C-8E7F-B8057DAEF3B7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8.8763974721167944</c:v>
              </c:pt>
            </c:numLit>
          </c:xVal>
          <c:yVal>
            <c:numLit>
              <c:formatCode>General</c:formatCode>
              <c:ptCount val="1"/>
              <c:pt idx="0">
                <c:v>8.5151911887455647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6EA-8F4C-8E7F-B8057DAEF3B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XLSTAT_20211101_192320_1_HID!xdata1</c:f>
              <c:numCache>
                <c:formatCode>General</c:formatCode>
                <c:ptCount val="70"/>
                <c:pt idx="0">
                  <c:v>7.9923468506487501</c:v>
                </c:pt>
                <c:pt idx="1">
                  <c:v>8.0749950526691272</c:v>
                </c:pt>
                <c:pt idx="2">
                  <c:v>8.1576432546895052</c:v>
                </c:pt>
                <c:pt idx="3">
                  <c:v>8.2402914567098833</c:v>
                </c:pt>
                <c:pt idx="4">
                  <c:v>8.3229396587302613</c:v>
                </c:pt>
                <c:pt idx="5">
                  <c:v>8.4055878607506394</c:v>
                </c:pt>
                <c:pt idx="6">
                  <c:v>8.4882360627710156</c:v>
                </c:pt>
                <c:pt idx="7">
                  <c:v>8.5708842647913936</c:v>
                </c:pt>
                <c:pt idx="8">
                  <c:v>8.6535324668117717</c:v>
                </c:pt>
                <c:pt idx="9">
                  <c:v>8.7361806688321497</c:v>
                </c:pt>
                <c:pt idx="10">
                  <c:v>8.8188288708525278</c:v>
                </c:pt>
                <c:pt idx="11">
                  <c:v>8.901477072872904</c:v>
                </c:pt>
                <c:pt idx="12">
                  <c:v>8.9841252748932821</c:v>
                </c:pt>
                <c:pt idx="13">
                  <c:v>9.0667734769136601</c:v>
                </c:pt>
                <c:pt idx="14">
                  <c:v>9.1494216789340381</c:v>
                </c:pt>
                <c:pt idx="15">
                  <c:v>9.2320698809544162</c:v>
                </c:pt>
                <c:pt idx="16">
                  <c:v>9.3147180829747924</c:v>
                </c:pt>
                <c:pt idx="17">
                  <c:v>9.3973662849951705</c:v>
                </c:pt>
                <c:pt idx="18">
                  <c:v>9.4800144870155485</c:v>
                </c:pt>
                <c:pt idx="19">
                  <c:v>9.5626626890359265</c:v>
                </c:pt>
                <c:pt idx="20">
                  <c:v>9.6453108910563046</c:v>
                </c:pt>
                <c:pt idx="21">
                  <c:v>9.7279590930766808</c:v>
                </c:pt>
                <c:pt idx="22">
                  <c:v>9.8106072950970589</c:v>
                </c:pt>
                <c:pt idx="23">
                  <c:v>9.8932554971174369</c:v>
                </c:pt>
                <c:pt idx="24">
                  <c:v>9.9759036991378149</c:v>
                </c:pt>
                <c:pt idx="25">
                  <c:v>10.058551901158193</c:v>
                </c:pt>
                <c:pt idx="26">
                  <c:v>10.141200103178569</c:v>
                </c:pt>
                <c:pt idx="27">
                  <c:v>10.223848305198949</c:v>
                </c:pt>
                <c:pt idx="28">
                  <c:v>10.306496507219325</c:v>
                </c:pt>
                <c:pt idx="29">
                  <c:v>10.389144709239703</c:v>
                </c:pt>
                <c:pt idx="30">
                  <c:v>10.471792911260081</c:v>
                </c:pt>
                <c:pt idx="31">
                  <c:v>10.554441113280459</c:v>
                </c:pt>
                <c:pt idx="32">
                  <c:v>10.637089315300837</c:v>
                </c:pt>
                <c:pt idx="33">
                  <c:v>10.719737517321214</c:v>
                </c:pt>
                <c:pt idx="34">
                  <c:v>10.802385719341592</c:v>
                </c:pt>
                <c:pt idx="35">
                  <c:v>10.88503392136197</c:v>
                </c:pt>
                <c:pt idx="36">
                  <c:v>10.967682123382348</c:v>
                </c:pt>
                <c:pt idx="37">
                  <c:v>11.050330325402726</c:v>
                </c:pt>
                <c:pt idx="38">
                  <c:v>11.132978527423102</c:v>
                </c:pt>
                <c:pt idx="39">
                  <c:v>11.21562672944348</c:v>
                </c:pt>
                <c:pt idx="40">
                  <c:v>11.298274931463858</c:v>
                </c:pt>
                <c:pt idx="41">
                  <c:v>11.380923133484236</c:v>
                </c:pt>
                <c:pt idx="42">
                  <c:v>11.463571335504614</c:v>
                </c:pt>
                <c:pt idx="43">
                  <c:v>11.546219537524991</c:v>
                </c:pt>
                <c:pt idx="44">
                  <c:v>11.628867739545369</c:v>
                </c:pt>
                <c:pt idx="45">
                  <c:v>11.711515941565747</c:v>
                </c:pt>
                <c:pt idx="46">
                  <c:v>11.794164143586125</c:v>
                </c:pt>
                <c:pt idx="47">
                  <c:v>11.876812345606503</c:v>
                </c:pt>
                <c:pt idx="48">
                  <c:v>11.959460547626879</c:v>
                </c:pt>
                <c:pt idx="49">
                  <c:v>12.042108749647259</c:v>
                </c:pt>
                <c:pt idx="50">
                  <c:v>12.124756951667635</c:v>
                </c:pt>
                <c:pt idx="51">
                  <c:v>12.207405153688013</c:v>
                </c:pt>
                <c:pt idx="52">
                  <c:v>12.290053355708391</c:v>
                </c:pt>
                <c:pt idx="53">
                  <c:v>12.372701557728767</c:v>
                </c:pt>
                <c:pt idx="54">
                  <c:v>12.455349759749147</c:v>
                </c:pt>
                <c:pt idx="55">
                  <c:v>12.537997961769523</c:v>
                </c:pt>
                <c:pt idx="56">
                  <c:v>12.620646163789901</c:v>
                </c:pt>
                <c:pt idx="57">
                  <c:v>12.703294365810279</c:v>
                </c:pt>
                <c:pt idx="58">
                  <c:v>12.785942567830656</c:v>
                </c:pt>
                <c:pt idx="59">
                  <c:v>12.868590769851036</c:v>
                </c:pt>
                <c:pt idx="60">
                  <c:v>12.951238971871412</c:v>
                </c:pt>
                <c:pt idx="61">
                  <c:v>13.03388717389179</c:v>
                </c:pt>
                <c:pt idx="62">
                  <c:v>13.116535375912168</c:v>
                </c:pt>
                <c:pt idx="63">
                  <c:v>13.199183577932544</c:v>
                </c:pt>
                <c:pt idx="64">
                  <c:v>13.281831779952924</c:v>
                </c:pt>
                <c:pt idx="65">
                  <c:v>13.3644799819733</c:v>
                </c:pt>
                <c:pt idx="66">
                  <c:v>13.447128183993678</c:v>
                </c:pt>
                <c:pt idx="67">
                  <c:v>13.529776386014056</c:v>
                </c:pt>
                <c:pt idx="68">
                  <c:v>13.612424588034433</c:v>
                </c:pt>
                <c:pt idx="69">
                  <c:v>13.695072790054812</c:v>
                </c:pt>
              </c:numCache>
            </c:numRef>
          </c:xVal>
          <c:yVal>
            <c:numRef>
              <c:f>XLSTAT_20211101_192320_1_HID!ydata1</c:f>
              <c:numCache>
                <c:formatCode>General</c:formatCode>
                <c:ptCount val="70"/>
                <c:pt idx="0">
                  <c:v>7.3634996654671783</c:v>
                </c:pt>
                <c:pt idx="1">
                  <c:v>7.4470148505136287</c:v>
                </c:pt>
                <c:pt idx="2">
                  <c:v>7.5304652110706867</c:v>
                </c:pt>
                <c:pt idx="3">
                  <c:v>7.6138504981147497</c:v>
                </c:pt>
                <c:pt idx="4">
                  <c:v>7.6971704816981514</c:v>
                </c:pt>
                <c:pt idx="5">
                  <c:v>7.7804249513013559</c:v>
                </c:pt>
                <c:pt idx="6">
                  <c:v>7.863613716157853</c:v>
                </c:pt>
                <c:pt idx="7">
                  <c:v>7.9467366055505941</c:v>
                </c:pt>
                <c:pt idx="8">
                  <c:v>8.0297934690789088</c:v>
                </c:pt>
                <c:pt idx="9">
                  <c:v>8.1127841768949409</c:v>
                </c:pt>
                <c:pt idx="10">
                  <c:v>8.1957086199087517</c:v>
                </c:pt>
                <c:pt idx="11">
                  <c:v>8.2785667099613196</c:v>
                </c:pt>
                <c:pt idx="12">
                  <c:v>8.3613583799648161</c:v>
                </c:pt>
                <c:pt idx="13">
                  <c:v>8.4440835840096256</c:v>
                </c:pt>
                <c:pt idx="14">
                  <c:v>8.5267422974377283</c:v>
                </c:pt>
                <c:pt idx="15">
                  <c:v>8.6093345168821571</c:v>
                </c:pt>
                <c:pt idx="16">
                  <c:v>8.6918602602723833</c:v>
                </c:pt>
                <c:pt idx="17">
                  <c:v>8.774319566805632</c:v>
                </c:pt>
                <c:pt idx="18">
                  <c:v>8.856712496884187</c:v>
                </c:pt>
                <c:pt idx="19">
                  <c:v>8.9390391320189782</c:v>
                </c:pt>
                <c:pt idx="20">
                  <c:v>9.021299574699766</c:v>
                </c:pt>
                <c:pt idx="21">
                  <c:v>9.1034939482324209</c:v>
                </c:pt>
                <c:pt idx="22">
                  <c:v>9.1856223965439039</c:v>
                </c:pt>
                <c:pt idx="23">
                  <c:v>9.2676850839556355</c:v>
                </c:pt>
                <c:pt idx="24">
                  <c:v>9.3496821949261264</c:v>
                </c:pt>
                <c:pt idx="25">
                  <c:v>9.4316139337637583</c:v>
                </c:pt>
                <c:pt idx="26">
                  <c:v>9.5134805243107632</c:v>
                </c:pt>
                <c:pt idx="27">
                  <c:v>9.5952822095995458</c:v>
                </c:pt>
                <c:pt idx="28">
                  <c:v>9.6770192514824931</c:v>
                </c:pt>
                <c:pt idx="29">
                  <c:v>9.7586919302366564</c:v>
                </c:pt>
                <c:pt idx="30">
                  <c:v>9.8403005441445739</c:v>
                </c:pt>
                <c:pt idx="31">
                  <c:v>9.9218454090526933</c:v>
                </c:pt>
                <c:pt idx="32">
                  <c:v>10.003326857908879</c:v>
                </c:pt>
                <c:pt idx="33">
                  <c:v>10.084745240280496</c:v>
                </c:pt>
                <c:pt idx="34">
                  <c:v>10.166100921854639</c:v>
                </c:pt>
                <c:pt idx="35">
                  <c:v>10.247394283922089</c:v>
                </c:pt>
                <c:pt idx="36">
                  <c:v>10.328625722846601</c:v>
                </c:pt>
                <c:pt idx="37">
                  <c:v>10.409795649521129</c:v>
                </c:pt>
                <c:pt idx="38">
                  <c:v>10.490904488812621</c:v>
                </c:pt>
                <c:pt idx="39">
                  <c:v>10.571952678996986</c:v>
                </c:pt>
                <c:pt idx="40">
                  <c:v>10.652940671185812</c:v>
                </c:pt>
                <c:pt idx="41">
                  <c:v>10.733868928746469</c:v>
                </c:pt>
                <c:pt idx="42">
                  <c:v>10.814737926717099</c:v>
                </c:pt>
                <c:pt idx="43">
                  <c:v>10.895548151218028</c:v>
                </c:pt>
                <c:pt idx="44">
                  <c:v>10.976300098861113</c:v>
                </c:pt>
                <c:pt idx="45">
                  <c:v>11.056994276158406</c:v>
                </c:pt>
                <c:pt idx="46">
                  <c:v>11.137631198931574</c:v>
                </c:pt>
                <c:pt idx="47">
                  <c:v>11.21821139172339</c:v>
                </c:pt>
                <c:pt idx="48">
                  <c:v>11.298735387212574</c:v>
                </c:pt>
                <c:pt idx="49">
                  <c:v>11.379203725633209</c:v>
                </c:pt>
                <c:pt idx="50">
                  <c:v>11.45961695419987</c:v>
                </c:pt>
                <c:pt idx="51">
                  <c:v>11.539975626539594</c:v>
                </c:pt>
                <c:pt idx="52">
                  <c:v>11.620280302131659</c:v>
                </c:pt>
                <c:pt idx="53">
                  <c:v>11.700531545756178</c:v>
                </c:pt>
                <c:pt idx="54">
                  <c:v>11.780729926952366</c:v>
                </c:pt>
                <c:pt idx="55">
                  <c:v>11.860876019487282</c:v>
                </c:pt>
                <c:pt idx="56">
                  <c:v>11.940970400835841</c:v>
                </c:pt>
                <c:pt idx="57">
                  <c:v>12.021013651672696</c:v>
                </c:pt>
                <c:pt idx="58">
                  <c:v>12.101006355376688</c:v>
                </c:pt>
                <c:pt idx="59">
                  <c:v>12.180949097548318</c:v>
                </c:pt>
                <c:pt idx="60">
                  <c:v>12.260842465540764</c:v>
                </c:pt>
                <c:pt idx="61">
                  <c:v>12.34068704800487</c:v>
                </c:pt>
                <c:pt idx="62">
                  <c:v>12.420483434448377</c:v>
                </c:pt>
                <c:pt idx="63">
                  <c:v>12.500232214809774</c:v>
                </c:pt>
                <c:pt idx="64">
                  <c:v>12.579933979046954</c:v>
                </c:pt>
                <c:pt idx="65">
                  <c:v>12.659589316740819</c:v>
                </c:pt>
                <c:pt idx="66">
                  <c:v>12.739198816714051</c:v>
                </c:pt>
                <c:pt idx="67">
                  <c:v>12.818763066664992</c:v>
                </c:pt>
                <c:pt idx="68">
                  <c:v>12.898282652816786</c:v>
                </c:pt>
                <c:pt idx="69">
                  <c:v>12.977758159581663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EA-8F4C-8E7F-B8057DAEF3B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XLSTAT_20211101_192320_1_HID!xdata2</c:f>
              <c:numCache>
                <c:formatCode>General</c:formatCode>
                <c:ptCount val="70"/>
                <c:pt idx="0">
                  <c:v>6.4991148284491604</c:v>
                </c:pt>
                <c:pt idx="1">
                  <c:v>6.6034040742695321</c:v>
                </c:pt>
                <c:pt idx="2">
                  <c:v>6.7076933200899047</c:v>
                </c:pt>
                <c:pt idx="3">
                  <c:v>6.8119825659102764</c:v>
                </c:pt>
                <c:pt idx="4">
                  <c:v>6.9162718117306481</c:v>
                </c:pt>
                <c:pt idx="5">
                  <c:v>7.0205610575510207</c:v>
                </c:pt>
                <c:pt idx="6">
                  <c:v>7.1248503033713924</c:v>
                </c:pt>
                <c:pt idx="7">
                  <c:v>7.229139549191764</c:v>
                </c:pt>
                <c:pt idx="8">
                  <c:v>7.3334287950121366</c:v>
                </c:pt>
                <c:pt idx="9">
                  <c:v>7.4377180408325083</c:v>
                </c:pt>
                <c:pt idx="10">
                  <c:v>7.5420072866528809</c:v>
                </c:pt>
                <c:pt idx="11">
                  <c:v>7.6462965324732526</c:v>
                </c:pt>
                <c:pt idx="12">
                  <c:v>7.7505857782936243</c:v>
                </c:pt>
                <c:pt idx="13">
                  <c:v>7.854875024113996</c:v>
                </c:pt>
                <c:pt idx="14">
                  <c:v>7.9591642699343685</c:v>
                </c:pt>
                <c:pt idx="15">
                  <c:v>8.0634535157547411</c:v>
                </c:pt>
                <c:pt idx="16">
                  <c:v>8.1677427615751128</c:v>
                </c:pt>
                <c:pt idx="17">
                  <c:v>8.2720320073954845</c:v>
                </c:pt>
                <c:pt idx="18">
                  <c:v>8.3763212532158562</c:v>
                </c:pt>
                <c:pt idx="19">
                  <c:v>8.4806104990362279</c:v>
                </c:pt>
                <c:pt idx="20">
                  <c:v>8.5848997448565996</c:v>
                </c:pt>
                <c:pt idx="21">
                  <c:v>8.6891889906769713</c:v>
                </c:pt>
                <c:pt idx="22">
                  <c:v>8.7934782364973447</c:v>
                </c:pt>
                <c:pt idx="23">
                  <c:v>8.8977674823177164</c:v>
                </c:pt>
                <c:pt idx="24">
                  <c:v>9.0020567281380881</c:v>
                </c:pt>
                <c:pt idx="25">
                  <c:v>9.1063459739584598</c:v>
                </c:pt>
                <c:pt idx="26">
                  <c:v>9.2106352197788333</c:v>
                </c:pt>
                <c:pt idx="27">
                  <c:v>9.314924465599205</c:v>
                </c:pt>
                <c:pt idx="28">
                  <c:v>9.4192137114195766</c:v>
                </c:pt>
                <c:pt idx="29">
                  <c:v>9.5235029572399483</c:v>
                </c:pt>
                <c:pt idx="30">
                  <c:v>9.62779220306032</c:v>
                </c:pt>
                <c:pt idx="31">
                  <c:v>9.7320814488806917</c:v>
                </c:pt>
                <c:pt idx="32">
                  <c:v>9.8363706947010634</c:v>
                </c:pt>
                <c:pt idx="33">
                  <c:v>9.9406599405214369</c:v>
                </c:pt>
                <c:pt idx="34">
                  <c:v>10.044949186341809</c:v>
                </c:pt>
                <c:pt idx="35">
                  <c:v>10.14923843216218</c:v>
                </c:pt>
                <c:pt idx="36">
                  <c:v>10.253527677982552</c:v>
                </c:pt>
                <c:pt idx="37">
                  <c:v>10.357816923802924</c:v>
                </c:pt>
                <c:pt idx="38">
                  <c:v>10.462106169623297</c:v>
                </c:pt>
                <c:pt idx="39">
                  <c:v>10.566395415443669</c:v>
                </c:pt>
                <c:pt idx="40">
                  <c:v>10.67068466126404</c:v>
                </c:pt>
                <c:pt idx="41">
                  <c:v>10.774973907084412</c:v>
                </c:pt>
                <c:pt idx="42">
                  <c:v>10.879263152904784</c:v>
                </c:pt>
                <c:pt idx="43">
                  <c:v>10.983552398725156</c:v>
                </c:pt>
                <c:pt idx="44">
                  <c:v>11.087841644545527</c:v>
                </c:pt>
                <c:pt idx="45">
                  <c:v>11.192130890365899</c:v>
                </c:pt>
                <c:pt idx="46">
                  <c:v>11.296420136186272</c:v>
                </c:pt>
                <c:pt idx="47">
                  <c:v>11.400709382006644</c:v>
                </c:pt>
                <c:pt idx="48">
                  <c:v>11.504998627827016</c:v>
                </c:pt>
                <c:pt idx="49">
                  <c:v>11.609287873647389</c:v>
                </c:pt>
                <c:pt idx="50">
                  <c:v>11.713577119467761</c:v>
                </c:pt>
                <c:pt idx="51">
                  <c:v>11.817866365288133</c:v>
                </c:pt>
                <c:pt idx="52">
                  <c:v>11.922155611108504</c:v>
                </c:pt>
                <c:pt idx="53">
                  <c:v>12.026444856928876</c:v>
                </c:pt>
                <c:pt idx="54">
                  <c:v>12.130734102749248</c:v>
                </c:pt>
                <c:pt idx="55">
                  <c:v>12.235023348569619</c:v>
                </c:pt>
                <c:pt idx="56">
                  <c:v>12.339312594389991</c:v>
                </c:pt>
                <c:pt idx="57">
                  <c:v>12.443601840210365</c:v>
                </c:pt>
                <c:pt idx="58">
                  <c:v>12.547891086030736</c:v>
                </c:pt>
                <c:pt idx="59">
                  <c:v>12.652180331851108</c:v>
                </c:pt>
                <c:pt idx="60">
                  <c:v>12.756469577671481</c:v>
                </c:pt>
                <c:pt idx="61">
                  <c:v>12.860758823491853</c:v>
                </c:pt>
                <c:pt idx="62">
                  <c:v>12.965048069312225</c:v>
                </c:pt>
                <c:pt idx="63">
                  <c:v>13.069337315132596</c:v>
                </c:pt>
                <c:pt idx="64">
                  <c:v>13.173626560952968</c:v>
                </c:pt>
                <c:pt idx="65">
                  <c:v>13.27791580677334</c:v>
                </c:pt>
                <c:pt idx="66">
                  <c:v>13.382205052593712</c:v>
                </c:pt>
                <c:pt idx="67">
                  <c:v>13.486494298414083</c:v>
                </c:pt>
                <c:pt idx="68">
                  <c:v>13.590783544234455</c:v>
                </c:pt>
                <c:pt idx="69">
                  <c:v>13.695072790054828</c:v>
                </c:pt>
              </c:numCache>
            </c:numRef>
          </c:xVal>
          <c:yVal>
            <c:numRef>
              <c:f>XLSTAT_20211101_192320_1_HID!ydata2</c:f>
              <c:numCache>
                <c:formatCode>General</c:formatCode>
                <c:ptCount val="70"/>
                <c:pt idx="0">
                  <c:v>7.1544010346846907</c:v>
                </c:pt>
                <c:pt idx="1">
                  <c:v>7.2562063116585049</c:v>
                </c:pt>
                <c:pt idx="2">
                  <c:v>7.3581034738203428</c:v>
                </c:pt>
                <c:pt idx="3">
                  <c:v>7.460093538575733</c:v>
                </c:pt>
                <c:pt idx="4">
                  <c:v>7.5621774980202048</c:v>
                </c:pt>
                <c:pt idx="5">
                  <c:v>7.664356317048254</c:v>
                </c:pt>
                <c:pt idx="6">
                  <c:v>7.766630931467275</c:v>
                </c:pt>
                <c:pt idx="7">
                  <c:v>7.8690022461239169</c:v>
                </c:pt>
                <c:pt idx="8">
                  <c:v>7.971471133050561</c:v>
                </c:pt>
                <c:pt idx="9">
                  <c:v>8.0740384296398275</c:v>
                </c:pt>
                <c:pt idx="10">
                  <c:v>8.1767049368552147</c:v>
                </c:pt>
                <c:pt idx="11">
                  <c:v>8.2794714174860253</c:v>
                </c:pt>
                <c:pt idx="12">
                  <c:v>8.3823385944548345</c:v>
                </c:pt>
                <c:pt idx="13">
                  <c:v>8.4853071491856884</c:v>
                </c:pt>
                <c:pt idx="14">
                  <c:v>8.5883777200411728</c:v>
                </c:pt>
                <c:pt idx="15">
                  <c:v>8.6915509008363188</c:v>
                </c:pt>
                <c:pt idx="16">
                  <c:v>8.7948272394370903</c:v>
                </c:pt>
                <c:pt idx="17">
                  <c:v>8.8982072364509381</c:v>
                </c:pt>
                <c:pt idx="18">
                  <c:v>9.0016913440164785</c:v>
                </c:pt>
                <c:pt idx="19">
                  <c:v>9.1052799646990028</c:v>
                </c:pt>
                <c:pt idx="20">
                  <c:v>9.2089734504979788</c:v>
                </c:pt>
                <c:pt idx="21">
                  <c:v>9.3127721019721825</c:v>
                </c:pt>
                <c:pt idx="22">
                  <c:v>9.4166761674874735</c:v>
                </c:pt>
                <c:pt idx="23">
                  <c:v>9.5206858425915524</c:v>
                </c:pt>
                <c:pt idx="24">
                  <c:v>9.6248012695194021</c:v>
                </c:pt>
                <c:pt idx="25">
                  <c:v>9.7290225368322414</c:v>
                </c:pt>
                <c:pt idx="26">
                  <c:v>9.8333496791922137</c:v>
                </c:pt>
                <c:pt idx="27">
                  <c:v>9.9377826772740612</c:v>
                </c:pt>
                <c:pt idx="28">
                  <c:v>10.042321457814378</c:v>
                </c:pt>
                <c:pt idx="29">
                  <c:v>10.146965893798107</c:v>
                </c:pt>
                <c:pt idx="30">
                  <c:v>10.251715804781194</c:v>
                </c:pt>
                <c:pt idx="31">
                  <c:v>10.356570957347472</c:v>
                </c:pt>
                <c:pt idx="32">
                  <c:v>10.461531065697114</c:v>
                </c:pt>
                <c:pt idx="33">
                  <c:v>10.566595792363195</c:v>
                </c:pt>
                <c:pt idx="34">
                  <c:v>10.671764749052183</c:v>
                </c:pt>
                <c:pt idx="35">
                  <c:v>10.777037497603573</c:v>
                </c:pt>
                <c:pt idx="36">
                  <c:v>10.882413551063159</c:v>
                </c:pt>
                <c:pt idx="37">
                  <c:v>10.987892374863936</c:v>
                </c:pt>
                <c:pt idx="38">
                  <c:v>11.093473388108089</c:v>
                </c:pt>
                <c:pt idx="39">
                  <c:v>11.199155964943097</c:v>
                </c:pt>
                <c:pt idx="40">
                  <c:v>11.304939436024563</c:v>
                </c:pt>
                <c:pt idx="41">
                  <c:v>11.41082309005812</c:v>
                </c:pt>
                <c:pt idx="42">
                  <c:v>11.516806175412482</c:v>
                </c:pt>
                <c:pt idx="43">
                  <c:v>11.622887901795552</c:v>
                </c:pt>
                <c:pt idx="44">
                  <c:v>11.729067441985409</c:v>
                </c:pt>
                <c:pt idx="45">
                  <c:v>11.835343933607914</c:v>
                </c:pt>
                <c:pt idx="46">
                  <c:v>11.94171648095277</c:v>
                </c:pt>
                <c:pt idx="47">
                  <c:v>12.04818415681989</c:v>
                </c:pt>
                <c:pt idx="48">
                  <c:v>12.154746004388112</c:v>
                </c:pt>
                <c:pt idx="49">
                  <c:v>12.261401039098526</c:v>
                </c:pt>
                <c:pt idx="50">
                  <c:v>12.368148250544808</c:v>
                </c:pt>
                <c:pt idx="51">
                  <c:v>12.474986604363428</c:v>
                </c:pt>
                <c:pt idx="52">
                  <c:v>12.581915044116757</c:v>
                </c:pt>
                <c:pt idx="53">
                  <c:v>12.688932493162547</c:v>
                </c:pt>
                <c:pt idx="54">
                  <c:v>12.796037856503643</c:v>
                </c:pt>
                <c:pt idx="55">
                  <c:v>12.903230022612172</c:v>
                </c:pt>
                <c:pt idx="56">
                  <c:v>13.010507865222882</c:v>
                </c:pt>
                <c:pt idx="57">
                  <c:v>13.117870245090776</c:v>
                </c:pt>
                <c:pt idx="58">
                  <c:v>13.225316011708571</c:v>
                </c:pt>
                <c:pt idx="59">
                  <c:v>13.332844004980043</c:v>
                </c:pt>
                <c:pt idx="60">
                  <c:v>13.440453056845675</c:v>
                </c:pt>
                <c:pt idx="61">
                  <c:v>13.548141992857529</c:v>
                </c:pt>
                <c:pt idx="62">
                  <c:v>13.65590963370069</c:v>
                </c:pt>
                <c:pt idx="63">
                  <c:v>13.763754796658992</c:v>
                </c:pt>
                <c:pt idx="64">
                  <c:v>13.871676297023225</c:v>
                </c:pt>
                <c:pt idx="65">
                  <c:v>13.97967294944034</c:v>
                </c:pt>
                <c:pt idx="66">
                  <c:v>14.087743569202592</c:v>
                </c:pt>
                <c:pt idx="67">
                  <c:v>14.19588697347584</c:v>
                </c:pt>
                <c:pt idx="68">
                  <c:v>14.304101982466637</c:v>
                </c:pt>
                <c:pt idx="69">
                  <c:v>14.412387420527978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6EA-8F4C-8E7F-B8057DAEF3B7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</c:v>
              </c:pt>
              <c:pt idx="1">
                <c:v>15</c:v>
              </c:pt>
            </c:numLit>
          </c:xVal>
          <c:yVal>
            <c:numLit>
              <c:formatCode>General</c:formatCode>
              <c:ptCount val="2"/>
              <c:pt idx="0">
                <c:v>6</c:v>
              </c:pt>
              <c:pt idx="1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B6EA-8F4C-8E7F-B8057DAE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020479"/>
        <c:axId val="1845022159"/>
      </c:scatterChart>
      <c:valAx>
        <c:axId val="1845020479"/>
        <c:scaling>
          <c:orientation val="minMax"/>
          <c:max val="15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Pred(Ln(UVolRB))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5022159"/>
        <c:crosses val="autoZero"/>
        <c:crossBetween val="midCat"/>
      </c:valAx>
      <c:valAx>
        <c:axId val="1845022159"/>
        <c:scaling>
          <c:orientation val="minMax"/>
          <c:max val="15"/>
          <c:min val="6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Ln(UVolRB)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50204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Ln(UVolRB)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'Regr-SalesRB'!$B$115:$B$270</c:f>
              <c:strCache>
                <c:ptCount val="156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</c:strCache>
            </c:strRef>
          </c:cat>
          <c:val>
            <c:numRef>
              <c:f>'Regr-SalesRB'!$G$115:$G$270</c:f>
              <c:numCache>
                <c:formatCode>0.000</c:formatCode>
                <c:ptCount val="156"/>
                <c:pt idx="0">
                  <c:v>-0.22411378733988843</c:v>
                </c:pt>
                <c:pt idx="1">
                  <c:v>-1.149928627254676</c:v>
                </c:pt>
                <c:pt idx="2">
                  <c:v>-0.3808141508710905</c:v>
                </c:pt>
                <c:pt idx="3">
                  <c:v>1.718806022121125</c:v>
                </c:pt>
                <c:pt idx="4">
                  <c:v>-0.35506423721513403</c:v>
                </c:pt>
                <c:pt idx="5">
                  <c:v>0.73217732406514568</c:v>
                </c:pt>
                <c:pt idx="6">
                  <c:v>-0.93132151673596453</c:v>
                </c:pt>
                <c:pt idx="7">
                  <c:v>-0.36811674696870783</c:v>
                </c:pt>
                <c:pt idx="8">
                  <c:v>-0.60635554098053879</c:v>
                </c:pt>
                <c:pt idx="9">
                  <c:v>-0.34695883145796652</c:v>
                </c:pt>
                <c:pt idx="10">
                  <c:v>0.65153914847517158</c:v>
                </c:pt>
                <c:pt idx="11">
                  <c:v>-1.4681943001789772</c:v>
                </c:pt>
                <c:pt idx="12">
                  <c:v>-1.5580633051834361</c:v>
                </c:pt>
                <c:pt idx="13">
                  <c:v>-0.67969618328164538</c:v>
                </c:pt>
                <c:pt idx="14">
                  <c:v>-0.61288060378348208</c:v>
                </c:pt>
                <c:pt idx="15">
                  <c:v>-0.44089817087242228</c:v>
                </c:pt>
                <c:pt idx="16">
                  <c:v>-1.3546172628210185</c:v>
                </c:pt>
                <c:pt idx="17">
                  <c:v>-1.2031806615135774</c:v>
                </c:pt>
                <c:pt idx="18">
                  <c:v>-1.3132383809557371</c:v>
                </c:pt>
                <c:pt idx="19">
                  <c:v>0.40625066353304168</c:v>
                </c:pt>
                <c:pt idx="20">
                  <c:v>9.2990974592846692E-2</c:v>
                </c:pt>
                <c:pt idx="21">
                  <c:v>-1.8777352391121924</c:v>
                </c:pt>
                <c:pt idx="22">
                  <c:v>0.1269096297376538</c:v>
                </c:pt>
                <c:pt idx="23">
                  <c:v>-1.3141084903700484</c:v>
                </c:pt>
                <c:pt idx="24">
                  <c:v>-1.1311266517244165</c:v>
                </c:pt>
                <c:pt idx="25">
                  <c:v>0.39991151845797185</c:v>
                </c:pt>
                <c:pt idx="26">
                  <c:v>-1.2664654996455906</c:v>
                </c:pt>
                <c:pt idx="27">
                  <c:v>-1.0205336655472337</c:v>
                </c:pt>
                <c:pt idx="28">
                  <c:v>0.5910383711342454</c:v>
                </c:pt>
                <c:pt idx="29">
                  <c:v>-0.69168050208205922</c:v>
                </c:pt>
                <c:pt idx="30">
                  <c:v>4.8940029903053142E-2</c:v>
                </c:pt>
                <c:pt idx="31">
                  <c:v>-0.52150716296847077</c:v>
                </c:pt>
                <c:pt idx="32">
                  <c:v>-0.46697355508839999</c:v>
                </c:pt>
                <c:pt idx="33">
                  <c:v>2.6763607272309635E-2</c:v>
                </c:pt>
                <c:pt idx="34">
                  <c:v>0.88037674777731667</c:v>
                </c:pt>
                <c:pt idx="35">
                  <c:v>-0.5852668083168977</c:v>
                </c:pt>
                <c:pt idx="36">
                  <c:v>-2.6557626632136486E-2</c:v>
                </c:pt>
                <c:pt idx="37">
                  <c:v>0.47044008518230029</c:v>
                </c:pt>
                <c:pt idx="38">
                  <c:v>1.2464336739880175</c:v>
                </c:pt>
                <c:pt idx="39">
                  <c:v>-0.32936657791085155</c:v>
                </c:pt>
                <c:pt idx="40">
                  <c:v>6.4762542633580264E-2</c:v>
                </c:pt>
                <c:pt idx="41">
                  <c:v>1.3710017846224489</c:v>
                </c:pt>
                <c:pt idx="42">
                  <c:v>0.2083166945046741</c:v>
                </c:pt>
                <c:pt idx="43">
                  <c:v>0.18570341013712713</c:v>
                </c:pt>
                <c:pt idx="44">
                  <c:v>-0.15827570662315779</c:v>
                </c:pt>
                <c:pt idx="45">
                  <c:v>-0.45974075352432175</c:v>
                </c:pt>
                <c:pt idx="46">
                  <c:v>0.55618603574845782</c:v>
                </c:pt>
                <c:pt idx="47">
                  <c:v>1.3230089253651678</c:v>
                </c:pt>
                <c:pt idx="48">
                  <c:v>-9.8675269030101931E-2</c:v>
                </c:pt>
                <c:pt idx="49">
                  <c:v>1.2509498660353897</c:v>
                </c:pt>
                <c:pt idx="50">
                  <c:v>2.0064454516624401</c:v>
                </c:pt>
                <c:pt idx="51">
                  <c:v>0.93267119825878719</c:v>
                </c:pt>
                <c:pt idx="52">
                  <c:v>0.23366258098494488</c:v>
                </c:pt>
                <c:pt idx="53">
                  <c:v>-2.9749603680880941E-2</c:v>
                </c:pt>
                <c:pt idx="54">
                  <c:v>0.93179884920793432</c:v>
                </c:pt>
                <c:pt idx="55">
                  <c:v>1.0676475560547802</c:v>
                </c:pt>
                <c:pt idx="56">
                  <c:v>-0.33432395945995647</c:v>
                </c:pt>
                <c:pt idx="57">
                  <c:v>-7.8540126650675585E-2</c:v>
                </c:pt>
                <c:pt idx="58">
                  <c:v>1.0218312940612957</c:v>
                </c:pt>
                <c:pt idx="59">
                  <c:v>7.5639108445435962E-2</c:v>
                </c:pt>
                <c:pt idx="60">
                  <c:v>0.75832168226027863</c:v>
                </c:pt>
                <c:pt idx="61">
                  <c:v>-0.19188644415402645</c:v>
                </c:pt>
                <c:pt idx="62">
                  <c:v>1.2192454496487075</c:v>
                </c:pt>
                <c:pt idx="63">
                  <c:v>1.8145717080895081E-2</c:v>
                </c:pt>
                <c:pt idx="64">
                  <c:v>-1.5857847902548603</c:v>
                </c:pt>
                <c:pt idx="65">
                  <c:v>-0.26250019225019672</c:v>
                </c:pt>
                <c:pt idx="66">
                  <c:v>-0.46012127891338489</c:v>
                </c:pt>
                <c:pt idx="67">
                  <c:v>-6.3795559359844989E-2</c:v>
                </c:pt>
                <c:pt idx="68">
                  <c:v>0.14856336257950858</c:v>
                </c:pt>
                <c:pt idx="69">
                  <c:v>-3.3023930519463098</c:v>
                </c:pt>
                <c:pt idx="70">
                  <c:v>0.66584327625393214</c:v>
                </c:pt>
                <c:pt idx="71">
                  <c:v>-0.17985391009915555</c:v>
                </c:pt>
                <c:pt idx="72">
                  <c:v>6.284999713097171E-2</c:v>
                </c:pt>
                <c:pt idx="73">
                  <c:v>0.20500275983200963</c:v>
                </c:pt>
                <c:pt idx="74">
                  <c:v>-0.14696143465676845</c:v>
                </c:pt>
                <c:pt idx="75">
                  <c:v>-0.56946705030939571</c:v>
                </c:pt>
                <c:pt idx="76">
                  <c:v>-6.5320783560040035E-2</c:v>
                </c:pt>
                <c:pt idx="77">
                  <c:v>-0.12440118453365283</c:v>
                </c:pt>
                <c:pt idx="78">
                  <c:v>-1.0495614136985623</c:v>
                </c:pt>
                <c:pt idx="79">
                  <c:v>-7.5441584141059781E-2</c:v>
                </c:pt>
                <c:pt idx="80">
                  <c:v>-0.37654304665410571</c:v>
                </c:pt>
                <c:pt idx="81">
                  <c:v>0.28842669454131392</c:v>
                </c:pt>
                <c:pt idx="82">
                  <c:v>-0.20302620255846923</c:v>
                </c:pt>
                <c:pt idx="83">
                  <c:v>-1.5386978909181557</c:v>
                </c:pt>
                <c:pt idx="84">
                  <c:v>-0.29914141606623645</c:v>
                </c:pt>
                <c:pt idx="85">
                  <c:v>-0.50920108490110494</c:v>
                </c:pt>
                <c:pt idx="86">
                  <c:v>-0.71179076997988278</c:v>
                </c:pt>
                <c:pt idx="87">
                  <c:v>-0.52649681353949385</c:v>
                </c:pt>
                <c:pt idx="88">
                  <c:v>-1.1547712137496386</c:v>
                </c:pt>
                <c:pt idx="89">
                  <c:v>-0.67428249314337985</c:v>
                </c:pt>
                <c:pt idx="90">
                  <c:v>-0.8367956060961439</c:v>
                </c:pt>
                <c:pt idx="91">
                  <c:v>-1.1104457454087961</c:v>
                </c:pt>
                <c:pt idx="92">
                  <c:v>-0.44464724343825285</c:v>
                </c:pt>
                <c:pt idx="93">
                  <c:v>0.60801511005708742</c:v>
                </c:pt>
                <c:pt idx="94">
                  <c:v>-1.5145878474257026</c:v>
                </c:pt>
                <c:pt idx="95">
                  <c:v>-0.25562394087987239</c:v>
                </c:pt>
                <c:pt idx="96">
                  <c:v>0.14219616648403191</c:v>
                </c:pt>
                <c:pt idx="97">
                  <c:v>0.38402939843685574</c:v>
                </c:pt>
                <c:pt idx="98">
                  <c:v>-0.15849565293088544</c:v>
                </c:pt>
                <c:pt idx="99">
                  <c:v>-0.10413770143504653</c:v>
                </c:pt>
                <c:pt idx="100">
                  <c:v>5.6133678938832512</c:v>
                </c:pt>
                <c:pt idx="101">
                  <c:v>0.96269022419508143</c:v>
                </c:pt>
                <c:pt idx="102">
                  <c:v>-0.30981280263194494</c:v>
                </c:pt>
                <c:pt idx="103">
                  <c:v>-0.17181797098991425</c:v>
                </c:pt>
                <c:pt idx="104">
                  <c:v>-0.39436431093237162</c:v>
                </c:pt>
                <c:pt idx="105">
                  <c:v>-0.43708576105978053</c:v>
                </c:pt>
                <c:pt idx="106">
                  <c:v>0.12639444557726739</c:v>
                </c:pt>
                <c:pt idx="107">
                  <c:v>8.9733717373729621E-2</c:v>
                </c:pt>
                <c:pt idx="108">
                  <c:v>0.61564996158540641</c:v>
                </c:pt>
                <c:pt idx="109">
                  <c:v>-4.7773572429531723E-2</c:v>
                </c:pt>
                <c:pt idx="110">
                  <c:v>-0.56062610057834916</c:v>
                </c:pt>
                <c:pt idx="111">
                  <c:v>2.0767276887443571E-2</c:v>
                </c:pt>
                <c:pt idx="112">
                  <c:v>0.58262673752607064</c:v>
                </c:pt>
                <c:pt idx="113">
                  <c:v>0.3983724794879458</c:v>
                </c:pt>
                <c:pt idx="114">
                  <c:v>5.5159514556502502</c:v>
                </c:pt>
                <c:pt idx="115">
                  <c:v>1.7224108409037355</c:v>
                </c:pt>
                <c:pt idx="116">
                  <c:v>0.40200552278921298</c:v>
                </c:pt>
                <c:pt idx="117">
                  <c:v>0.76018934454076315</c:v>
                </c:pt>
                <c:pt idx="118">
                  <c:v>0.59401057310831051</c:v>
                </c:pt>
                <c:pt idx="119">
                  <c:v>0.45884965456196586</c:v>
                </c:pt>
                <c:pt idx="120">
                  <c:v>-5.5924498381347963E-2</c:v>
                </c:pt>
                <c:pt idx="121">
                  <c:v>-9.8582967670195323E-2</c:v>
                </c:pt>
                <c:pt idx="122">
                  <c:v>-0.1529890846109371</c:v>
                </c:pt>
                <c:pt idx="123">
                  <c:v>-0.35898210257419416</c:v>
                </c:pt>
                <c:pt idx="124">
                  <c:v>-0.76444990787695166</c:v>
                </c:pt>
                <c:pt idx="125">
                  <c:v>-0.37415878803396951</c:v>
                </c:pt>
                <c:pt idx="126">
                  <c:v>-0.40875731220360856</c:v>
                </c:pt>
                <c:pt idx="127">
                  <c:v>-0.17220845729589901</c:v>
                </c:pt>
                <c:pt idx="128">
                  <c:v>-0.30853517290255905</c:v>
                </c:pt>
                <c:pt idx="129">
                  <c:v>7.1302220118544507E-2</c:v>
                </c:pt>
                <c:pt idx="130">
                  <c:v>9.3321874964127791E-2</c:v>
                </c:pt>
                <c:pt idx="131">
                  <c:v>-0.14655570616213606</c:v>
                </c:pt>
                <c:pt idx="132">
                  <c:v>-0.60146562918220015</c:v>
                </c:pt>
                <c:pt idx="133">
                  <c:v>0.57549765748085535</c:v>
                </c:pt>
                <c:pt idx="134">
                  <c:v>-0.42856124738237267</c:v>
                </c:pt>
                <c:pt idx="135">
                  <c:v>-0.14494835760264008</c:v>
                </c:pt>
                <c:pt idx="136">
                  <c:v>9.8460795565753264E-3</c:v>
                </c:pt>
                <c:pt idx="137">
                  <c:v>0.3056838695686443</c:v>
                </c:pt>
                <c:pt idx="138">
                  <c:v>0.80399250865825167</c:v>
                </c:pt>
                <c:pt idx="139">
                  <c:v>0.31929765122031767</c:v>
                </c:pt>
                <c:pt idx="140">
                  <c:v>0.1166613391776494</c:v>
                </c:pt>
                <c:pt idx="141">
                  <c:v>0.19862092063963765</c:v>
                </c:pt>
                <c:pt idx="142">
                  <c:v>-2.2221023962692245E-2</c:v>
                </c:pt>
                <c:pt idx="143">
                  <c:v>-0.44090742648865294</c:v>
                </c:pt>
                <c:pt idx="144">
                  <c:v>0.37705525893081848</c:v>
                </c:pt>
                <c:pt idx="145">
                  <c:v>0.16940657177469062</c:v>
                </c:pt>
                <c:pt idx="146">
                  <c:v>1.0138522961631475</c:v>
                </c:pt>
                <c:pt idx="147">
                  <c:v>0.71138618287210598</c:v>
                </c:pt>
                <c:pt idx="148">
                  <c:v>8.8058740272820721E-2</c:v>
                </c:pt>
                <c:pt idx="149">
                  <c:v>0.31541852024032319</c:v>
                </c:pt>
                <c:pt idx="150">
                  <c:v>0.25724331318532212</c:v>
                </c:pt>
                <c:pt idx="151">
                  <c:v>0.36805026786472866</c:v>
                </c:pt>
                <c:pt idx="152">
                  <c:v>0.39773145197468684</c:v>
                </c:pt>
                <c:pt idx="153">
                  <c:v>-0.14770309587587468</c:v>
                </c:pt>
                <c:pt idx="154">
                  <c:v>0.42783859049917233</c:v>
                </c:pt>
                <c:pt idx="155">
                  <c:v>0.82254599811105822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E4-234F-8B6D-828978EF8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022693855"/>
        <c:axId val="2022019007"/>
      </c:barChart>
      <c:catAx>
        <c:axId val="20226938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022019007"/>
        <c:crosses val="autoZero"/>
        <c:auto val="1"/>
        <c:lblAlgn val="ctr"/>
        <c:lblOffset val="100"/>
        <c:noMultiLvlLbl val="0"/>
      </c:catAx>
      <c:valAx>
        <c:axId val="2022019007"/>
        <c:scaling>
          <c:orientation val="minMax"/>
          <c:max val="6"/>
          <c:min val="-6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2269385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Ln(UVolJO)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373-F246-A0B4-06BBEBAE64F1}"/>
              </c:ext>
            </c:extLst>
          </c:dPt>
          <c:dPt>
            <c:idx val="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373-F246-A0B4-06BBEBAE64F1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373-F246-A0B4-06BBEBAE64F1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373-F246-A0B4-06BBEBAE64F1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8373-F246-A0B4-06BBEBAE64F1}"/>
              </c:ext>
            </c:extLst>
          </c:dPt>
          <c:dPt>
            <c:idx val="5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8373-F246-A0B4-06BBEBAE64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6"/>
                <c:pt idx="0">
                  <c:v>5.8363303259912104E-2</c:v>
                </c:pt>
                <c:pt idx="1">
                  <c:v>5.4525650610684984E-2</c:v>
                </c:pt>
                <c:pt idx="2">
                  <c:v>5.67280001792837E-2</c:v>
                </c:pt>
                <c:pt idx="3">
                  <c:v>5.3833372534865323E-2</c:v>
                </c:pt>
                <c:pt idx="4">
                  <c:v>5.3845260758095384E-2</c:v>
                </c:pt>
                <c:pt idx="5">
                  <c:v>5.6751257700440844E-2</c:v>
                </c:pt>
              </c:numLit>
            </c:plus>
            <c:minus>
              <c:numLit>
                <c:formatCode>General</c:formatCode>
                <c:ptCount val="6"/>
                <c:pt idx="0">
                  <c:v>5.8363303259912104E-2</c:v>
                </c:pt>
                <c:pt idx="1">
                  <c:v>5.4525650610684977E-2</c:v>
                </c:pt>
                <c:pt idx="2">
                  <c:v>5.67280001792837E-2</c:v>
                </c:pt>
                <c:pt idx="3">
                  <c:v>5.3833372534865337E-2</c:v>
                </c:pt>
                <c:pt idx="4">
                  <c:v>5.384526075809537E-2</c:v>
                </c:pt>
                <c:pt idx="5">
                  <c:v>5.6751257700440844E-2</c:v>
                </c:pt>
              </c:numLit>
            </c:minus>
          </c:errBars>
          <c:cat>
            <c:strRef>
              <c:f>'Regr-SalesJO'!$B$82:$B$87</c:f>
              <c:strCache>
                <c:ptCount val="6"/>
                <c:pt idx="0">
                  <c:v>Ln(PriceDiG)</c:v>
                </c:pt>
                <c:pt idx="1">
                  <c:v>Ln(PriceFre)</c:v>
                </c:pt>
                <c:pt idx="2">
                  <c:v>Ln(PriceJO)</c:v>
                </c:pt>
                <c:pt idx="3">
                  <c:v>Ln(PriceRB)</c:v>
                </c:pt>
                <c:pt idx="4">
                  <c:v>Ln(PriceTomb)</c:v>
                </c:pt>
                <c:pt idx="5">
                  <c:v>Ln(PriceTO)</c:v>
                </c:pt>
              </c:strCache>
            </c:strRef>
          </c:cat>
          <c:val>
            <c:numRef>
              <c:f>'Regr-SalesJO'!$C$82:$C$87</c:f>
              <c:numCache>
                <c:formatCode>0.000</c:formatCode>
                <c:ptCount val="6"/>
                <c:pt idx="0">
                  <c:v>3.4404696874902184E-2</c:v>
                </c:pt>
                <c:pt idx="1">
                  <c:v>-1.8536446406411118E-2</c:v>
                </c:pt>
                <c:pt idx="2">
                  <c:v>-0.94993774468442826</c:v>
                </c:pt>
                <c:pt idx="3">
                  <c:v>7.3667270261787196E-2</c:v>
                </c:pt>
                <c:pt idx="4">
                  <c:v>8.7512403791074819E-2</c:v>
                </c:pt>
                <c:pt idx="5">
                  <c:v>0.12011914459610737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3-F246-A0B4-06BBEBAE6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44716415"/>
        <c:axId val="1844718063"/>
      </c:barChart>
      <c:catAx>
        <c:axId val="1844716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4718063"/>
        <c:crosses val="autoZero"/>
        <c:auto val="1"/>
        <c:lblAlgn val="ctr"/>
        <c:lblOffset val="100"/>
        <c:noMultiLvlLbl val="0"/>
      </c:catAx>
      <c:valAx>
        <c:axId val="18447180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471641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Ln(UVolJO)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'Regr-SalesJO'!$D$115:$D$270</c:f>
              <c:numCache>
                <c:formatCode>0.000</c:formatCode>
                <c:ptCount val="156"/>
                <c:pt idx="0">
                  <c:v>10.513660649802818</c:v>
                </c:pt>
                <c:pt idx="1">
                  <c:v>10.275706066850656</c:v>
                </c:pt>
                <c:pt idx="2">
                  <c:v>11.287203592641218</c:v>
                </c:pt>
                <c:pt idx="3">
                  <c:v>10.375832189483837</c:v>
                </c:pt>
                <c:pt idx="4">
                  <c:v>10.519807682982748</c:v>
                </c:pt>
                <c:pt idx="5">
                  <c:v>10.381831306056865</c:v>
                </c:pt>
                <c:pt idx="6">
                  <c:v>10.33432796697552</c:v>
                </c:pt>
                <c:pt idx="7">
                  <c:v>11.223241389847775</c:v>
                </c:pt>
                <c:pt idx="8">
                  <c:v>10.4052623407817</c:v>
                </c:pt>
                <c:pt idx="9">
                  <c:v>10.234624151353531</c:v>
                </c:pt>
                <c:pt idx="10">
                  <c:v>9.9622751940192167</c:v>
                </c:pt>
                <c:pt idx="11">
                  <c:v>10.258956769878603</c:v>
                </c:pt>
                <c:pt idx="12">
                  <c:v>10.355836246543143</c:v>
                </c:pt>
                <c:pt idx="13">
                  <c:v>11.03455089697473</c:v>
                </c:pt>
                <c:pt idx="14">
                  <c:v>10.223176883622889</c:v>
                </c:pt>
                <c:pt idx="15">
                  <c:v>10.573877745973457</c:v>
                </c:pt>
                <c:pt idx="16">
                  <c:v>10.214055728774611</c:v>
                </c:pt>
                <c:pt idx="17">
                  <c:v>10.238065138296543</c:v>
                </c:pt>
                <c:pt idx="18">
                  <c:v>10.172025031140222</c:v>
                </c:pt>
                <c:pt idx="19">
                  <c:v>10.263118124300494</c:v>
                </c:pt>
                <c:pt idx="20">
                  <c:v>10.429871515217972</c:v>
                </c:pt>
                <c:pt idx="21">
                  <c:v>10.492356964389485</c:v>
                </c:pt>
                <c:pt idx="22">
                  <c:v>10.241101993736118</c:v>
                </c:pt>
                <c:pt idx="23">
                  <c:v>10.947027485325746</c:v>
                </c:pt>
                <c:pt idx="24">
                  <c:v>10.312712251185442</c:v>
                </c:pt>
                <c:pt idx="25">
                  <c:v>10.198132825539048</c:v>
                </c:pt>
                <c:pt idx="26">
                  <c:v>9.7097207480574319</c:v>
                </c:pt>
                <c:pt idx="27">
                  <c:v>10.980995366872817</c:v>
                </c:pt>
                <c:pt idx="28">
                  <c:v>9.9608126191553978</c:v>
                </c:pt>
                <c:pt idx="29">
                  <c:v>9.8806794132101192</c:v>
                </c:pt>
                <c:pt idx="30">
                  <c:v>10.83168709223442</c:v>
                </c:pt>
                <c:pt idx="31">
                  <c:v>9.8840498586436532</c:v>
                </c:pt>
                <c:pt idx="32">
                  <c:v>10.074453207791757</c:v>
                </c:pt>
                <c:pt idx="33">
                  <c:v>11.704066350238913</c:v>
                </c:pt>
                <c:pt idx="34">
                  <c:v>10.027473532317119</c:v>
                </c:pt>
                <c:pt idx="35">
                  <c:v>9.8452226444041528</c:v>
                </c:pt>
                <c:pt idx="36">
                  <c:v>9.8938411754843223</c:v>
                </c:pt>
                <c:pt idx="37">
                  <c:v>11.051461270741962</c:v>
                </c:pt>
                <c:pt idx="38">
                  <c:v>10.036224879974322</c:v>
                </c:pt>
                <c:pt idx="39">
                  <c:v>9.7646851496556692</c:v>
                </c:pt>
                <c:pt idx="40">
                  <c:v>10.001974499250782</c:v>
                </c:pt>
                <c:pt idx="41">
                  <c:v>10.077020603297003</c:v>
                </c:pt>
                <c:pt idx="42">
                  <c:v>10.873546513618466</c:v>
                </c:pt>
                <c:pt idx="43">
                  <c:v>9.8735436761630559</c:v>
                </c:pt>
                <c:pt idx="44">
                  <c:v>9.6712401869724474</c:v>
                </c:pt>
                <c:pt idx="45">
                  <c:v>10.67468314579237</c:v>
                </c:pt>
                <c:pt idx="46">
                  <c:v>11.480784431637813</c:v>
                </c:pt>
                <c:pt idx="47">
                  <c:v>11.287416618549733</c:v>
                </c:pt>
                <c:pt idx="48">
                  <c:v>9.9061340474770336</c:v>
                </c:pt>
                <c:pt idx="49">
                  <c:v>11.953937880865364</c:v>
                </c:pt>
                <c:pt idx="50">
                  <c:v>9.9675884779426518</c:v>
                </c:pt>
                <c:pt idx="51">
                  <c:v>10.009962447043133</c:v>
                </c:pt>
                <c:pt idx="52">
                  <c:v>9.905834795604477</c:v>
                </c:pt>
                <c:pt idx="53">
                  <c:v>9.99419625266159</c:v>
                </c:pt>
                <c:pt idx="54">
                  <c:v>11.213710476704723</c:v>
                </c:pt>
                <c:pt idx="55">
                  <c:v>9.9327550502166968</c:v>
                </c:pt>
                <c:pt idx="56">
                  <c:v>9.7616935469182415</c:v>
                </c:pt>
                <c:pt idx="57">
                  <c:v>9.788637710857186</c:v>
                </c:pt>
                <c:pt idx="58">
                  <c:v>11.826567639091541</c:v>
                </c:pt>
                <c:pt idx="59">
                  <c:v>9.9224564990837312</c:v>
                </c:pt>
                <c:pt idx="60">
                  <c:v>10.011758827819916</c:v>
                </c:pt>
                <c:pt idx="61">
                  <c:v>11.161067472299884</c:v>
                </c:pt>
                <c:pt idx="62">
                  <c:v>9.8949512215138409</c:v>
                </c:pt>
                <c:pt idx="63">
                  <c:v>9.5998793295340885</c:v>
                </c:pt>
                <c:pt idx="64">
                  <c:v>9.7508024648704801</c:v>
                </c:pt>
                <c:pt idx="65">
                  <c:v>11.630815161604794</c:v>
                </c:pt>
                <c:pt idx="66">
                  <c:v>9.8022850470269649</c:v>
                </c:pt>
                <c:pt idx="67">
                  <c:v>9.6746402658052393</c:v>
                </c:pt>
                <c:pt idx="68">
                  <c:v>11.085536781945789</c:v>
                </c:pt>
                <c:pt idx="69">
                  <c:v>9.8189095760608307</c:v>
                </c:pt>
                <c:pt idx="70">
                  <c:v>9.888272386729648</c:v>
                </c:pt>
                <c:pt idx="71">
                  <c:v>9.6649765240907968</c:v>
                </c:pt>
                <c:pt idx="72">
                  <c:v>10.845991691226187</c:v>
                </c:pt>
                <c:pt idx="73">
                  <c:v>9.8676012739717187</c:v>
                </c:pt>
                <c:pt idx="74">
                  <c:v>9.7198050701028311</c:v>
                </c:pt>
                <c:pt idx="75">
                  <c:v>11.255281044494451</c:v>
                </c:pt>
                <c:pt idx="76">
                  <c:v>9.7198050701028311</c:v>
                </c:pt>
                <c:pt idx="77">
                  <c:v>9.7444332026805203</c:v>
                </c:pt>
                <c:pt idx="78">
                  <c:v>9.8129061743048904</c:v>
                </c:pt>
                <c:pt idx="79">
                  <c:v>10.981148554451305</c:v>
                </c:pt>
                <c:pt idx="80">
                  <c:v>9.7823927891580702</c:v>
                </c:pt>
                <c:pt idx="81">
                  <c:v>9.7899268403129618</c:v>
                </c:pt>
                <c:pt idx="82">
                  <c:v>9.6124665788188324</c:v>
                </c:pt>
                <c:pt idx="83">
                  <c:v>9.6066301821488942</c:v>
                </c:pt>
                <c:pt idx="84">
                  <c:v>10.931426987909191</c:v>
                </c:pt>
                <c:pt idx="85">
                  <c:v>9.7549875442176841</c:v>
                </c:pt>
                <c:pt idx="86">
                  <c:v>9.7721252343393008</c:v>
                </c:pt>
                <c:pt idx="87">
                  <c:v>10.735156776679537</c:v>
                </c:pt>
                <c:pt idx="88">
                  <c:v>9.7003304351540347</c:v>
                </c:pt>
                <c:pt idx="89">
                  <c:v>11.183059359733951</c:v>
                </c:pt>
                <c:pt idx="90">
                  <c:v>9.7977380723525194</c:v>
                </c:pt>
                <c:pt idx="91">
                  <c:v>9.885221743729236</c:v>
                </c:pt>
                <c:pt idx="92">
                  <c:v>10.940897969477794</c:v>
                </c:pt>
                <c:pt idx="93">
                  <c:v>9.9041873076504015</c:v>
                </c:pt>
                <c:pt idx="94">
                  <c:v>10.685011843713486</c:v>
                </c:pt>
                <c:pt idx="95">
                  <c:v>11.523568625068709</c:v>
                </c:pt>
                <c:pt idx="96">
                  <c:v>11.271656129671937</c:v>
                </c:pt>
                <c:pt idx="97">
                  <c:v>9.6399776320553325</c:v>
                </c:pt>
                <c:pt idx="98">
                  <c:v>9.6071682866886832</c:v>
                </c:pt>
                <c:pt idx="99">
                  <c:v>9.7380231128085963</c:v>
                </c:pt>
                <c:pt idx="100">
                  <c:v>9.7730940886025319</c:v>
                </c:pt>
                <c:pt idx="101">
                  <c:v>11.754796556077171</c:v>
                </c:pt>
                <c:pt idx="102">
                  <c:v>9.9569809249761274</c:v>
                </c:pt>
                <c:pt idx="103">
                  <c:v>9.8195079387408537</c:v>
                </c:pt>
                <c:pt idx="104">
                  <c:v>10.025882160749735</c:v>
                </c:pt>
                <c:pt idx="105">
                  <c:v>9.8855781319925597</c:v>
                </c:pt>
                <c:pt idx="106">
                  <c:v>11.258020312032384</c:v>
                </c:pt>
                <c:pt idx="107">
                  <c:v>10.0853089842884</c:v>
                </c:pt>
                <c:pt idx="108">
                  <c:v>9.855661923053523</c:v>
                </c:pt>
                <c:pt idx="109">
                  <c:v>10.541518350537407</c:v>
                </c:pt>
                <c:pt idx="110">
                  <c:v>9.9220639381090638</c:v>
                </c:pt>
                <c:pt idx="111">
                  <c:v>10.017128689025176</c:v>
                </c:pt>
                <c:pt idx="112">
                  <c:v>10.971262555384069</c:v>
                </c:pt>
                <c:pt idx="113">
                  <c:v>9.9094696242136759</c:v>
                </c:pt>
                <c:pt idx="114">
                  <c:v>9.8220063106682449</c:v>
                </c:pt>
                <c:pt idx="115">
                  <c:v>11.931629220859403</c:v>
                </c:pt>
                <c:pt idx="116">
                  <c:v>9.9837763837649316</c:v>
                </c:pt>
                <c:pt idx="117">
                  <c:v>9.7878522089372044</c:v>
                </c:pt>
                <c:pt idx="118">
                  <c:v>10.937667981044848</c:v>
                </c:pt>
                <c:pt idx="119">
                  <c:v>9.9097677904932784</c:v>
                </c:pt>
                <c:pt idx="120">
                  <c:v>9.9778990500499383</c:v>
                </c:pt>
                <c:pt idx="121">
                  <c:v>9.9322207713590007</c:v>
                </c:pt>
                <c:pt idx="122">
                  <c:v>9.9426121072201781</c:v>
                </c:pt>
                <c:pt idx="123">
                  <c:v>9.8173303560849536</c:v>
                </c:pt>
                <c:pt idx="124">
                  <c:v>9.877605482822025</c:v>
                </c:pt>
                <c:pt idx="125">
                  <c:v>9.9470258545506116</c:v>
                </c:pt>
                <c:pt idx="126">
                  <c:v>10.727838418711418</c:v>
                </c:pt>
                <c:pt idx="127">
                  <c:v>9.8295180323359528</c:v>
                </c:pt>
                <c:pt idx="128">
                  <c:v>9.7006367044896802</c:v>
                </c:pt>
                <c:pt idx="129">
                  <c:v>9.8755509338431047</c:v>
                </c:pt>
                <c:pt idx="130">
                  <c:v>11.638650214899393</c:v>
                </c:pt>
                <c:pt idx="131">
                  <c:v>9.8379351842958922</c:v>
                </c:pt>
                <c:pt idx="132">
                  <c:v>9.6418630144036364</c:v>
                </c:pt>
                <c:pt idx="133">
                  <c:v>9.8900983154171112</c:v>
                </c:pt>
                <c:pt idx="134">
                  <c:v>10.905845882847675</c:v>
                </c:pt>
                <c:pt idx="135">
                  <c:v>9.8300024632736509</c:v>
                </c:pt>
                <c:pt idx="136">
                  <c:v>9.613603056529147</c:v>
                </c:pt>
                <c:pt idx="137">
                  <c:v>10.875175147630571</c:v>
                </c:pt>
                <c:pt idx="138">
                  <c:v>9.8747279308647027</c:v>
                </c:pt>
                <c:pt idx="139">
                  <c:v>9.6606513678761825</c:v>
                </c:pt>
                <c:pt idx="140">
                  <c:v>9.8780158865624585</c:v>
                </c:pt>
                <c:pt idx="141">
                  <c:v>11.578647660289029</c:v>
                </c:pt>
                <c:pt idx="142">
                  <c:v>9.8936392164813132</c:v>
                </c:pt>
                <c:pt idx="143">
                  <c:v>9.6883741729171824</c:v>
                </c:pt>
                <c:pt idx="144">
                  <c:v>10.870376337173374</c:v>
                </c:pt>
                <c:pt idx="145">
                  <c:v>9.95546311412647</c:v>
                </c:pt>
                <c:pt idx="146">
                  <c:v>10.611079897527569</c:v>
                </c:pt>
                <c:pt idx="147">
                  <c:v>11.205435165206588</c:v>
                </c:pt>
                <c:pt idx="148">
                  <c:v>10.937045631566651</c:v>
                </c:pt>
                <c:pt idx="149">
                  <c:v>9.659248037927183</c:v>
                </c:pt>
                <c:pt idx="150">
                  <c:v>9.8699307690072846</c:v>
                </c:pt>
                <c:pt idx="151">
                  <c:v>9.8909087703292684</c:v>
                </c:pt>
                <c:pt idx="152">
                  <c:v>9.2904446162178438</c:v>
                </c:pt>
                <c:pt idx="153">
                  <c:v>10.984190420660671</c:v>
                </c:pt>
                <c:pt idx="154">
                  <c:v>9.2998153784037854</c:v>
                </c:pt>
                <c:pt idx="155">
                  <c:v>9.7662923133582833</c:v>
                </c:pt>
              </c:numCache>
            </c:numRef>
          </c:xVal>
          <c:yVal>
            <c:numRef>
              <c:f>'Regr-SalesJO'!$G$115:$G$270</c:f>
              <c:numCache>
                <c:formatCode>0.000</c:formatCode>
                <c:ptCount val="156"/>
                <c:pt idx="0">
                  <c:v>0.11767063676970589</c:v>
                </c:pt>
                <c:pt idx="1">
                  <c:v>-1.095947839166509</c:v>
                </c:pt>
                <c:pt idx="2">
                  <c:v>-0.86945348265577493</c:v>
                </c:pt>
                <c:pt idx="3">
                  <c:v>-0.31526397054724603</c:v>
                </c:pt>
                <c:pt idx="4">
                  <c:v>-1.2874696512720456</c:v>
                </c:pt>
                <c:pt idx="5">
                  <c:v>-0.68231475410821874</c:v>
                </c:pt>
                <c:pt idx="6">
                  <c:v>0.26571050630810478</c:v>
                </c:pt>
                <c:pt idx="7">
                  <c:v>1.2652495113121409</c:v>
                </c:pt>
                <c:pt idx="8">
                  <c:v>-0.28940453144953854</c:v>
                </c:pt>
                <c:pt idx="9">
                  <c:v>-1.3286835349246933</c:v>
                </c:pt>
                <c:pt idx="10">
                  <c:v>-1.1213289816052092</c:v>
                </c:pt>
                <c:pt idx="11">
                  <c:v>-0.58645623248347656</c:v>
                </c:pt>
                <c:pt idx="12">
                  <c:v>-0.82935725284387463</c:v>
                </c:pt>
                <c:pt idx="13">
                  <c:v>0.15147048410696703</c:v>
                </c:pt>
                <c:pt idx="14">
                  <c:v>-1.3497113960228835</c:v>
                </c:pt>
                <c:pt idx="15">
                  <c:v>-1.0469938876082197</c:v>
                </c:pt>
                <c:pt idx="16">
                  <c:v>-1.6318833961033015</c:v>
                </c:pt>
                <c:pt idx="17">
                  <c:v>-0.87398920601015628</c:v>
                </c:pt>
                <c:pt idx="18">
                  <c:v>-1.4361648137745946</c:v>
                </c:pt>
                <c:pt idx="19">
                  <c:v>-0.99612775761484074</c:v>
                </c:pt>
                <c:pt idx="20">
                  <c:v>-0.14411660536554466</c:v>
                </c:pt>
                <c:pt idx="21">
                  <c:v>-0.27842090190907054</c:v>
                </c:pt>
                <c:pt idx="22">
                  <c:v>-1.037044185325052</c:v>
                </c:pt>
                <c:pt idx="23">
                  <c:v>-0.58104719884613332</c:v>
                </c:pt>
                <c:pt idx="24">
                  <c:v>-1.3101012668510117</c:v>
                </c:pt>
                <c:pt idx="25">
                  <c:v>-1.3734075914149459</c:v>
                </c:pt>
                <c:pt idx="26">
                  <c:v>-0.98685398073866915</c:v>
                </c:pt>
                <c:pt idx="27">
                  <c:v>-0.24368767865723473</c:v>
                </c:pt>
                <c:pt idx="28">
                  <c:v>0.41344398903171564</c:v>
                </c:pt>
                <c:pt idx="29">
                  <c:v>0.84847322364565936</c:v>
                </c:pt>
                <c:pt idx="30">
                  <c:v>-0.96881392804794531</c:v>
                </c:pt>
                <c:pt idx="31">
                  <c:v>-1.171180416091199E-2</c:v>
                </c:pt>
                <c:pt idx="32">
                  <c:v>1.0356176936992247</c:v>
                </c:pt>
                <c:pt idx="33">
                  <c:v>0.68928982291973184</c:v>
                </c:pt>
                <c:pt idx="34">
                  <c:v>0.33823564676139983</c:v>
                </c:pt>
                <c:pt idx="35">
                  <c:v>0.5440742129307099</c:v>
                </c:pt>
                <c:pt idx="36">
                  <c:v>0.35238324559485495</c:v>
                </c:pt>
                <c:pt idx="37">
                  <c:v>-0.22345648890376679</c:v>
                </c:pt>
                <c:pt idx="38">
                  <c:v>1.3661179367573162</c:v>
                </c:pt>
                <c:pt idx="39">
                  <c:v>-0.24240852464365006</c:v>
                </c:pt>
                <c:pt idx="40">
                  <c:v>0.6813783421874442</c:v>
                </c:pt>
                <c:pt idx="41">
                  <c:v>1.3482973659328301</c:v>
                </c:pt>
                <c:pt idx="42">
                  <c:v>-0.83906863835059653</c:v>
                </c:pt>
                <c:pt idx="43">
                  <c:v>-0.34067507808036596</c:v>
                </c:pt>
                <c:pt idx="44">
                  <c:v>-0.17564042210742015</c:v>
                </c:pt>
                <c:pt idx="45">
                  <c:v>1.1442645150909123</c:v>
                </c:pt>
                <c:pt idx="46">
                  <c:v>0.27469722115191347</c:v>
                </c:pt>
                <c:pt idx="47">
                  <c:v>-0.613083412915856</c:v>
                </c:pt>
                <c:pt idx="48">
                  <c:v>-0.34636772213651401</c:v>
                </c:pt>
                <c:pt idx="49">
                  <c:v>-0.92008579979812266</c:v>
                </c:pt>
                <c:pt idx="50">
                  <c:v>-0.87701329275561268</c:v>
                </c:pt>
                <c:pt idx="51">
                  <c:v>1.0544265386797538</c:v>
                </c:pt>
                <c:pt idx="52">
                  <c:v>0.64684391367871641</c:v>
                </c:pt>
                <c:pt idx="53">
                  <c:v>0.68171365345732715</c:v>
                </c:pt>
                <c:pt idx="54">
                  <c:v>0.53618148957873402</c:v>
                </c:pt>
                <c:pt idx="55">
                  <c:v>0.94251231335561703</c:v>
                </c:pt>
                <c:pt idx="56">
                  <c:v>-0.55025082647612877</c:v>
                </c:pt>
                <c:pt idx="57">
                  <c:v>-0.59781219267294805</c:v>
                </c:pt>
                <c:pt idx="58">
                  <c:v>0.58197043762361722</c:v>
                </c:pt>
                <c:pt idx="59">
                  <c:v>-1.3220948271394803</c:v>
                </c:pt>
                <c:pt idx="60">
                  <c:v>0.48640878006540628</c:v>
                </c:pt>
                <c:pt idx="61">
                  <c:v>-1.352964960278971E-2</c:v>
                </c:pt>
                <c:pt idx="62">
                  <c:v>-0.85392674610751773</c:v>
                </c:pt>
                <c:pt idx="63">
                  <c:v>0.17593198780351915</c:v>
                </c:pt>
                <c:pt idx="64">
                  <c:v>-9.2931289710751291E-2</c:v>
                </c:pt>
                <c:pt idx="65">
                  <c:v>-0.11262697516484804</c:v>
                </c:pt>
                <c:pt idx="66">
                  <c:v>-2.0332919814250587</c:v>
                </c:pt>
                <c:pt idx="67">
                  <c:v>-1.1708093899064191</c:v>
                </c:pt>
                <c:pt idx="68">
                  <c:v>0.3545366897185302</c:v>
                </c:pt>
                <c:pt idx="69">
                  <c:v>-0.26340990801496095</c:v>
                </c:pt>
                <c:pt idx="70">
                  <c:v>0.15204705736071725</c:v>
                </c:pt>
                <c:pt idx="71">
                  <c:v>-0.69340353300030022</c:v>
                </c:pt>
                <c:pt idx="72">
                  <c:v>1.84955443646512</c:v>
                </c:pt>
                <c:pt idx="73">
                  <c:v>-0.11097010415396218</c:v>
                </c:pt>
                <c:pt idx="74">
                  <c:v>-0.17282943085665523</c:v>
                </c:pt>
                <c:pt idx="75">
                  <c:v>0.35923611605895878</c:v>
                </c:pt>
                <c:pt idx="76">
                  <c:v>-1.4539716926235222</c:v>
                </c:pt>
                <c:pt idx="77">
                  <c:v>-0.26072994033856994</c:v>
                </c:pt>
                <c:pt idx="78">
                  <c:v>0.29603527059359996</c:v>
                </c:pt>
                <c:pt idx="79">
                  <c:v>1.3296113094510562</c:v>
                </c:pt>
                <c:pt idx="80">
                  <c:v>-0.82615537605845257</c:v>
                </c:pt>
                <c:pt idx="81">
                  <c:v>0.36432513107628972</c:v>
                </c:pt>
                <c:pt idx="82">
                  <c:v>-0.91070723460382796</c:v>
                </c:pt>
                <c:pt idx="83">
                  <c:v>-1.7580579336725932</c:v>
                </c:pt>
                <c:pt idx="84">
                  <c:v>0.88258809309228492</c:v>
                </c:pt>
                <c:pt idx="85">
                  <c:v>-0.75294459880420261</c:v>
                </c:pt>
                <c:pt idx="86">
                  <c:v>-0.24631053384245286</c:v>
                </c:pt>
                <c:pt idx="87">
                  <c:v>0.5305294588726871</c:v>
                </c:pt>
                <c:pt idx="88">
                  <c:v>-1.1691122434485337</c:v>
                </c:pt>
                <c:pt idx="89">
                  <c:v>0.30331073344156767</c:v>
                </c:pt>
                <c:pt idx="90">
                  <c:v>-0.14127599431402488</c:v>
                </c:pt>
                <c:pt idx="91">
                  <c:v>0.21717860998400287</c:v>
                </c:pt>
                <c:pt idx="92">
                  <c:v>0.98174949373063569</c:v>
                </c:pt>
                <c:pt idx="93">
                  <c:v>-0.28365369308412708</c:v>
                </c:pt>
                <c:pt idx="94">
                  <c:v>-0.60839935322292471</c:v>
                </c:pt>
                <c:pt idx="95">
                  <c:v>1.9594754274132862</c:v>
                </c:pt>
                <c:pt idx="96">
                  <c:v>1.8464425263006767</c:v>
                </c:pt>
                <c:pt idx="97">
                  <c:v>-0.83462355644863118</c:v>
                </c:pt>
                <c:pt idx="98">
                  <c:v>-0.53570817210890487</c:v>
                </c:pt>
                <c:pt idx="99">
                  <c:v>-1.9559791378769103E-2</c:v>
                </c:pt>
                <c:pt idx="100">
                  <c:v>-0.16371423313944022</c:v>
                </c:pt>
                <c:pt idx="101">
                  <c:v>-1.2924497581599157</c:v>
                </c:pt>
                <c:pt idx="102">
                  <c:v>-1.1019942031540653</c:v>
                </c:pt>
                <c:pt idx="103">
                  <c:v>0.26159940944948162</c:v>
                </c:pt>
                <c:pt idx="104">
                  <c:v>0.83481491182630674</c:v>
                </c:pt>
                <c:pt idx="105">
                  <c:v>5.180456838356999E-2</c:v>
                </c:pt>
                <c:pt idx="106">
                  <c:v>0.54895908153049444</c:v>
                </c:pt>
                <c:pt idx="107">
                  <c:v>1.0415535311395683</c:v>
                </c:pt>
                <c:pt idx="108">
                  <c:v>0.36173120897432826</c:v>
                </c:pt>
                <c:pt idx="109">
                  <c:v>1.5314652405529749</c:v>
                </c:pt>
                <c:pt idx="110">
                  <c:v>-0.26593830522943607</c:v>
                </c:pt>
                <c:pt idx="111">
                  <c:v>0.6356645541728575</c:v>
                </c:pt>
                <c:pt idx="112">
                  <c:v>1.383436530398173</c:v>
                </c:pt>
                <c:pt idx="113">
                  <c:v>-0.11624250598286764</c:v>
                </c:pt>
                <c:pt idx="114">
                  <c:v>-0.31643915117660731</c:v>
                </c:pt>
                <c:pt idx="115">
                  <c:v>2.5313875631745626</c:v>
                </c:pt>
                <c:pt idx="116">
                  <c:v>-0.30936652037149703</c:v>
                </c:pt>
                <c:pt idx="117">
                  <c:v>-0.3647592000701772</c:v>
                </c:pt>
                <c:pt idx="118">
                  <c:v>1.40914692128476</c:v>
                </c:pt>
                <c:pt idx="119">
                  <c:v>-0.14125951791748423</c:v>
                </c:pt>
                <c:pt idx="120">
                  <c:v>0.10025130993230376</c:v>
                </c:pt>
                <c:pt idx="121">
                  <c:v>-8.3310008877265945E-2</c:v>
                </c:pt>
                <c:pt idx="122">
                  <c:v>-0.2795579567436115</c:v>
                </c:pt>
                <c:pt idx="123">
                  <c:v>0.59517198719971298</c:v>
                </c:pt>
                <c:pt idx="124">
                  <c:v>0.75483752227477363</c:v>
                </c:pt>
                <c:pt idx="125">
                  <c:v>0.59428663978718976</c:v>
                </c:pt>
                <c:pt idx="126">
                  <c:v>9.5423300162257793E-2</c:v>
                </c:pt>
                <c:pt idx="127">
                  <c:v>-0.89742776941936808</c:v>
                </c:pt>
                <c:pt idx="128">
                  <c:v>-0.85027782998972223</c:v>
                </c:pt>
                <c:pt idx="129">
                  <c:v>0.84296129511543505</c:v>
                </c:pt>
                <c:pt idx="130">
                  <c:v>0.46188163444535346</c:v>
                </c:pt>
                <c:pt idx="131">
                  <c:v>-6.6907324821410361E-2</c:v>
                </c:pt>
                <c:pt idx="132">
                  <c:v>-0.90275897813039463</c:v>
                </c:pt>
                <c:pt idx="133">
                  <c:v>0.57939966976536927</c:v>
                </c:pt>
                <c:pt idx="134">
                  <c:v>0.92377891219673847</c:v>
                </c:pt>
                <c:pt idx="135">
                  <c:v>-1.0388582816714151</c:v>
                </c:pt>
                <c:pt idx="136">
                  <c:v>-0.57676145688026148</c:v>
                </c:pt>
                <c:pt idx="137">
                  <c:v>0.75614401320991775</c:v>
                </c:pt>
                <c:pt idx="138">
                  <c:v>0.84203312412671083</c:v>
                </c:pt>
                <c:pt idx="139">
                  <c:v>-0.36090047199396308</c:v>
                </c:pt>
                <c:pt idx="140">
                  <c:v>0.71825933444988588</c:v>
                </c:pt>
                <c:pt idx="141">
                  <c:v>-0.10553746767226525</c:v>
                </c:pt>
                <c:pt idx="142">
                  <c:v>-1.4906429545993358</c:v>
                </c:pt>
                <c:pt idx="143">
                  <c:v>-0.91275475265362949</c:v>
                </c:pt>
                <c:pt idx="144">
                  <c:v>0.40328601236474676</c:v>
                </c:pt>
                <c:pt idx="145">
                  <c:v>-0.60421304186528746</c:v>
                </c:pt>
                <c:pt idx="146">
                  <c:v>1.209026299504637</c:v>
                </c:pt>
                <c:pt idx="147">
                  <c:v>2.77612403881656</c:v>
                </c:pt>
                <c:pt idx="148">
                  <c:v>1.2423850359207989</c:v>
                </c:pt>
                <c:pt idx="149">
                  <c:v>-0.72344204227751019</c:v>
                </c:pt>
                <c:pt idx="150">
                  <c:v>0.94917139583051779</c:v>
                </c:pt>
                <c:pt idx="151">
                  <c:v>-0.11586562116352835</c:v>
                </c:pt>
                <c:pt idx="152">
                  <c:v>0.29288612417862159</c:v>
                </c:pt>
                <c:pt idx="153">
                  <c:v>5.3481191118387734</c:v>
                </c:pt>
                <c:pt idx="154">
                  <c:v>0.42540392422968021</c:v>
                </c:pt>
                <c:pt idx="155">
                  <c:v>0.25265350310768248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2-0E40-8F71-CBD4B5370F51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10.275706066850656</c:v>
              </c:pt>
            </c:numLit>
          </c:xVal>
          <c:yVal>
            <c:numLit>
              <c:formatCode>General</c:formatCode>
              <c:ptCount val="1"/>
              <c:pt idx="0">
                <c:v>-1.095947839166509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652-0E40-8F71-CBD4B5370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713471"/>
        <c:axId val="1807635391"/>
      </c:scatterChart>
      <c:valAx>
        <c:axId val="1807713471"/>
        <c:scaling>
          <c:orientation val="minMax"/>
          <c:max val="12"/>
          <c:min val="9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Ln(UVolJO)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07635391"/>
        <c:crosses val="autoZero"/>
        <c:crossBetween val="midCat"/>
      </c:valAx>
      <c:valAx>
        <c:axId val="1807635391"/>
        <c:scaling>
          <c:orientation val="minMax"/>
          <c:max val="6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0771347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Pred(Ln(UVolJO))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'Regr-SalesJO'!$E$115:$E$270</c:f>
              <c:numCache>
                <c:formatCode>0.000</c:formatCode>
                <c:ptCount val="156"/>
                <c:pt idx="0">
                  <c:v>10.489384765061777</c:v>
                </c:pt>
                <c:pt idx="1">
                  <c:v>10.501804133081638</c:v>
                </c:pt>
                <c:pt idx="2">
                  <c:v>11.466575040880732</c:v>
                </c:pt>
                <c:pt idx="3">
                  <c:v>10.440872305030982</c:v>
                </c:pt>
                <c:pt idx="4">
                  <c:v>10.785417402789367</c:v>
                </c:pt>
                <c:pt idx="5">
                  <c:v>10.522595346964197</c:v>
                </c:pt>
                <c:pt idx="6">
                  <c:v>10.279510913182881</c:v>
                </c:pt>
                <c:pt idx="7">
                  <c:v>10.962215766561787</c:v>
                </c:pt>
                <c:pt idx="8">
                  <c:v>10.464967559023645</c:v>
                </c:pt>
                <c:pt idx="9">
                  <c:v>10.508736446796249</c:v>
                </c:pt>
                <c:pt idx="10">
                  <c:v>10.193609483197166</c:v>
                </c:pt>
                <c:pt idx="11">
                  <c:v>10.379944845546934</c:v>
                </c:pt>
                <c:pt idx="12">
                  <c:v>10.526935695240674</c:v>
                </c:pt>
                <c:pt idx="13">
                  <c:v>11.003301979531997</c:v>
                </c:pt>
                <c:pt idx="14">
                  <c:v>10.501627304076091</c:v>
                </c:pt>
                <c:pt idx="15">
                  <c:v>10.789876432118875</c:v>
                </c:pt>
                <c:pt idx="16">
                  <c:v>10.550719269672697</c:v>
                </c:pt>
                <c:pt idx="17">
                  <c:v>10.418372322930377</c:v>
                </c:pt>
                <c:pt idx="18">
                  <c:v>10.468311109344789</c:v>
                </c:pt>
                <c:pt idx="19">
                  <c:v>10.468622940922977</c:v>
                </c:pt>
                <c:pt idx="20">
                  <c:v>10.459603300454853</c:v>
                </c:pt>
                <c:pt idx="21">
                  <c:v>10.549796219498379</c:v>
                </c:pt>
                <c:pt idx="22">
                  <c:v>10.455048019740786</c:v>
                </c:pt>
                <c:pt idx="23">
                  <c:v>11.066899657479443</c:v>
                </c:pt>
                <c:pt idx="24">
                  <c:v>10.582990956444853</c:v>
                </c:pt>
                <c:pt idx="25">
                  <c:v>10.481471858172235</c:v>
                </c:pt>
                <c:pt idx="26">
                  <c:v>9.9133123504342855</c:v>
                </c:pt>
                <c:pt idx="27">
                  <c:v>11.031269030399194</c:v>
                </c:pt>
                <c:pt idx="28">
                  <c:v>9.8755176050368547</c:v>
                </c:pt>
                <c:pt idx="29">
                  <c:v>9.7056362694954075</c:v>
                </c:pt>
                <c:pt idx="30">
                  <c:v>11.031556965453817</c:v>
                </c:pt>
                <c:pt idx="31">
                  <c:v>9.8864660468765457</c:v>
                </c:pt>
                <c:pt idx="32">
                  <c:v>9.8608014722510759</c:v>
                </c:pt>
                <c:pt idx="33">
                  <c:v>11.56186332700619</c:v>
                </c:pt>
                <c:pt idx="34">
                  <c:v>9.9576942755586053</c:v>
                </c:pt>
                <c:pt idx="35">
                  <c:v>9.7329781351003781</c:v>
                </c:pt>
                <c:pt idx="36">
                  <c:v>9.8211432171017528</c:v>
                </c:pt>
                <c:pt idx="37">
                  <c:v>11.097561165483604</c:v>
                </c:pt>
                <c:pt idx="38">
                  <c:v>9.7543897298825115</c:v>
                </c:pt>
                <c:pt idx="39">
                  <c:v>9.8146949190088506</c:v>
                </c:pt>
                <c:pt idx="40">
                  <c:v>9.8614036435635093</c:v>
                </c:pt>
                <c:pt idx="41">
                  <c:v>9.7988619024471681</c:v>
                </c:pt>
                <c:pt idx="42">
                  <c:v>11.046649456830082</c:v>
                </c:pt>
                <c:pt idx="43">
                  <c:v>9.9438261965662527</c:v>
                </c:pt>
                <c:pt idx="44">
                  <c:v>9.7074754514360215</c:v>
                </c:pt>
                <c:pt idx="45">
                  <c:v>10.438617171780736</c:v>
                </c:pt>
                <c:pt idx="46">
                  <c:v>11.424113385551617</c:v>
                </c:pt>
                <c:pt idx="47">
                  <c:v>11.413897979381638</c:v>
                </c:pt>
                <c:pt idx="48">
                  <c:v>9.9775909812663777</c:v>
                </c:pt>
                <c:pt idx="49">
                  <c:v>12.143754962177512</c:v>
                </c:pt>
                <c:pt idx="50">
                  <c:v>10.148519542783944</c:v>
                </c:pt>
                <c:pt idx="51">
                  <c:v>9.7924303776707156</c:v>
                </c:pt>
                <c:pt idx="52">
                  <c:v>9.7723885194137559</c:v>
                </c:pt>
                <c:pt idx="53">
                  <c:v>9.8535562210272545</c:v>
                </c:pt>
                <c:pt idx="54">
                  <c:v>11.103094265229917</c:v>
                </c:pt>
                <c:pt idx="55">
                  <c:v>9.7383112967524248</c:v>
                </c:pt>
                <c:pt idx="56">
                  <c:v>9.8752123142921242</c:v>
                </c:pt>
                <c:pt idx="57">
                  <c:v>9.9119685628395686</c:v>
                </c:pt>
                <c:pt idx="58">
                  <c:v>11.70650499938565</c:v>
                </c:pt>
                <c:pt idx="59">
                  <c:v>10.19520951990045</c:v>
                </c:pt>
                <c:pt idx="60">
                  <c:v>9.9114109092052871</c:v>
                </c:pt>
                <c:pt idx="61">
                  <c:v>11.163858688727027</c:v>
                </c:pt>
                <c:pt idx="62">
                  <c:v>10.071119446951156</c:v>
                </c:pt>
                <c:pt idx="63">
                  <c:v>9.5635839139960641</c:v>
                </c:pt>
                <c:pt idx="64">
                  <c:v>9.7699745314096429</c:v>
                </c:pt>
                <c:pt idx="65">
                  <c:v>11.654050520424045</c:v>
                </c:pt>
                <c:pt idx="66">
                  <c:v>10.221760654034682</c:v>
                </c:pt>
                <c:pt idx="67">
                  <c:v>9.9161825450292582</c:v>
                </c:pt>
                <c:pt idx="68">
                  <c:v>11.012394560127772</c:v>
                </c:pt>
                <c:pt idx="69">
                  <c:v>9.87325200797215</c:v>
                </c:pt>
                <c:pt idx="70">
                  <c:v>9.8569045201060739</c:v>
                </c:pt>
                <c:pt idx="71">
                  <c:v>9.808028220828783</c:v>
                </c:pt>
                <c:pt idx="72">
                  <c:v>10.464421814879032</c:v>
                </c:pt>
                <c:pt idx="73">
                  <c:v>9.8904948142133264</c:v>
                </c:pt>
                <c:pt idx="74">
                  <c:v>9.7554604167425119</c:v>
                </c:pt>
                <c:pt idx="75">
                  <c:v>11.181169313754573</c:v>
                </c:pt>
                <c:pt idx="76">
                  <c:v>10.019764772844505</c:v>
                </c:pt>
                <c:pt idx="77">
                  <c:v>9.7982227474127797</c:v>
                </c:pt>
                <c:pt idx="78">
                  <c:v>9.7518330102131738</c:v>
                </c:pt>
                <c:pt idx="79">
                  <c:v>10.706844855714733</c:v>
                </c:pt>
                <c:pt idx="80">
                  <c:v>9.9528316789096163</c:v>
                </c:pt>
                <c:pt idx="81">
                  <c:v>9.7147652270756524</c:v>
                </c:pt>
                <c:pt idx="82">
                  <c:v>9.8003488276702821</c:v>
                </c:pt>
                <c:pt idx="83">
                  <c:v>9.9693239937701765</c:v>
                </c:pt>
                <c:pt idx="84">
                  <c:v>10.74934582127409</c:v>
                </c:pt>
                <c:pt idx="85">
                  <c:v>9.9103227816119777</c:v>
                </c:pt>
                <c:pt idx="86">
                  <c:v>9.8229400025279521</c:v>
                </c:pt>
                <c:pt idx="87">
                  <c:v>10.62570659990752</c:v>
                </c:pt>
                <c:pt idx="88">
                  <c:v>9.9415225868277037</c:v>
                </c:pt>
                <c:pt idx="89">
                  <c:v>11.120485240923339</c:v>
                </c:pt>
                <c:pt idx="90">
                  <c:v>9.8268838290917753</c:v>
                </c:pt>
                <c:pt idx="91">
                  <c:v>9.840416998476524</c:v>
                </c:pt>
                <c:pt idx="92">
                  <c:v>10.738359441526905</c:v>
                </c:pt>
                <c:pt idx="93">
                  <c:v>9.9627061068063654</c:v>
                </c:pt>
                <c:pt idx="94">
                  <c:v>10.810526865819373</c:v>
                </c:pt>
                <c:pt idx="95">
                  <c:v>11.11932164438922</c:v>
                </c:pt>
                <c:pt idx="96">
                  <c:v>10.89072825182628</c:v>
                </c:pt>
                <c:pt idx="97">
                  <c:v>9.8121635385373196</c:v>
                </c:pt>
                <c:pt idx="98">
                  <c:v>9.7176868510302796</c:v>
                </c:pt>
                <c:pt idx="99">
                  <c:v>9.7420583696416081</c:v>
                </c:pt>
                <c:pt idx="100">
                  <c:v>9.8068689364597681</c:v>
                </c:pt>
                <c:pt idx="101">
                  <c:v>12.021433690233936</c:v>
                </c:pt>
                <c:pt idx="102">
                  <c:v>10.184326378314834</c:v>
                </c:pt>
                <c:pt idx="103">
                  <c:v>9.7655390193361882</c:v>
                </c:pt>
                <c:pt idx="104">
                  <c:v>9.8536567769502064</c:v>
                </c:pt>
                <c:pt idx="105">
                  <c:v>9.874890659181478</c:v>
                </c:pt>
                <c:pt idx="106">
                  <c:v>11.144768036387244</c:v>
                </c:pt>
                <c:pt idx="107">
                  <c:v>9.8704326636728084</c:v>
                </c:pt>
                <c:pt idx="108">
                  <c:v>9.781035445477098</c:v>
                </c:pt>
                <c:pt idx="109">
                  <c:v>10.225571444111338</c:v>
                </c:pt>
                <c:pt idx="110">
                  <c:v>9.9769279876562109</c:v>
                </c:pt>
                <c:pt idx="111">
                  <c:v>9.8859887557785662</c:v>
                </c:pt>
                <c:pt idx="112">
                  <c:v>10.685854515787758</c:v>
                </c:pt>
                <c:pt idx="113">
                  <c:v>9.9334508803257897</c:v>
                </c:pt>
                <c:pt idx="114">
                  <c:v>9.8872888702973754</c:v>
                </c:pt>
                <c:pt idx="115">
                  <c:v>11.409394665107001</c:v>
                </c:pt>
                <c:pt idx="116">
                  <c:v>10.047599833670905</c:v>
                </c:pt>
                <c:pt idx="117">
                  <c:v>9.8631033722029198</c:v>
                </c:pt>
                <c:pt idx="118">
                  <c:v>10.646955793336963</c:v>
                </c:pt>
                <c:pt idx="119">
                  <c:v>9.9389101480913862</c:v>
                </c:pt>
                <c:pt idx="120">
                  <c:v>9.9572168364419849</c:v>
                </c:pt>
                <c:pt idx="121">
                  <c:v>9.9494079323092528</c:v>
                </c:pt>
                <c:pt idx="122">
                  <c:v>10.000285940919495</c:v>
                </c:pt>
                <c:pt idx="123">
                  <c:v>9.6945441881930154</c:v>
                </c:pt>
                <c:pt idx="124">
                  <c:v>9.7218797283602907</c:v>
                </c:pt>
                <c:pt idx="125">
                  <c:v>9.8244223370830461</c:v>
                </c:pt>
                <c:pt idx="126">
                  <c:v>10.708152241259329</c:v>
                </c:pt>
                <c:pt idx="127">
                  <c:v>10.014660678725052</c:v>
                </c:pt>
                <c:pt idx="128">
                  <c:v>9.8760521451241168</c:v>
                </c:pt>
                <c:pt idx="129">
                  <c:v>9.7016449212375111</c:v>
                </c:pt>
                <c:pt idx="130">
                  <c:v>11.543362336550071</c:v>
                </c:pt>
                <c:pt idx="131">
                  <c:v>9.8517384112544981</c:v>
                </c:pt>
                <c:pt idx="132">
                  <c:v>9.8281055087391067</c:v>
                </c:pt>
                <c:pt idx="133">
                  <c:v>9.7705660345665475</c:v>
                </c:pt>
                <c:pt idx="134">
                  <c:v>10.715266898877518</c:v>
                </c:pt>
                <c:pt idx="135">
                  <c:v>10.044322744020389</c:v>
                </c:pt>
                <c:pt idx="136">
                  <c:v>9.7325910643675186</c:v>
                </c:pt>
                <c:pt idx="137">
                  <c:v>10.719179859288275</c:v>
                </c:pt>
                <c:pt idx="138">
                  <c:v>9.7010134033446054</c:v>
                </c:pt>
                <c:pt idx="139">
                  <c:v>9.7351064613610525</c:v>
                </c:pt>
                <c:pt idx="140">
                  <c:v>9.7298363466539008</c:v>
                </c:pt>
                <c:pt idx="141">
                  <c:v>11.600420427662485</c:v>
                </c:pt>
                <c:pt idx="142">
                  <c:v>10.201164335315497</c:v>
                </c:pt>
                <c:pt idx="143">
                  <c:v>9.876678832265819</c:v>
                </c:pt>
                <c:pt idx="144">
                  <c:v>10.787176950966254</c:v>
                </c:pt>
                <c:pt idx="145">
                  <c:v>10.080114484816864</c:v>
                </c:pt>
                <c:pt idx="146">
                  <c:v>10.361653329427126</c:v>
                </c:pt>
                <c:pt idx="147">
                  <c:v>10.632710575256095</c:v>
                </c:pt>
                <c:pt idx="148">
                  <c:v>10.680737033568381</c:v>
                </c:pt>
                <c:pt idx="149">
                  <c:v>9.8084967895042059</c:v>
                </c:pt>
                <c:pt idx="150">
                  <c:v>9.6741132223599422</c:v>
                </c:pt>
                <c:pt idx="151">
                  <c:v>9.9148122737183062</c:v>
                </c:pt>
                <c:pt idx="152">
                  <c:v>9.2300211326029338</c:v>
                </c:pt>
                <c:pt idx="153">
                  <c:v>9.8808537964657415</c:v>
                </c:pt>
                <c:pt idx="154">
                  <c:v>9.2120529857076594</c:v>
                </c:pt>
                <c:pt idx="155">
                  <c:v>9.7141689673032605</c:v>
                </c:pt>
              </c:numCache>
            </c:numRef>
          </c:xVal>
          <c:yVal>
            <c:numRef>
              <c:f>'Regr-SalesJO'!$G$115:$G$270</c:f>
              <c:numCache>
                <c:formatCode>0.000</c:formatCode>
                <c:ptCount val="156"/>
                <c:pt idx="0">
                  <c:v>0.11767063676970589</c:v>
                </c:pt>
                <c:pt idx="1">
                  <c:v>-1.095947839166509</c:v>
                </c:pt>
                <c:pt idx="2">
                  <c:v>-0.86945348265577493</c:v>
                </c:pt>
                <c:pt idx="3">
                  <c:v>-0.31526397054724603</c:v>
                </c:pt>
                <c:pt idx="4">
                  <c:v>-1.2874696512720456</c:v>
                </c:pt>
                <c:pt idx="5">
                  <c:v>-0.68231475410821874</c:v>
                </c:pt>
                <c:pt idx="6">
                  <c:v>0.26571050630810478</c:v>
                </c:pt>
                <c:pt idx="7">
                  <c:v>1.2652495113121409</c:v>
                </c:pt>
                <c:pt idx="8">
                  <c:v>-0.28940453144953854</c:v>
                </c:pt>
                <c:pt idx="9">
                  <c:v>-1.3286835349246933</c:v>
                </c:pt>
                <c:pt idx="10">
                  <c:v>-1.1213289816052092</c:v>
                </c:pt>
                <c:pt idx="11">
                  <c:v>-0.58645623248347656</c:v>
                </c:pt>
                <c:pt idx="12">
                  <c:v>-0.82935725284387463</c:v>
                </c:pt>
                <c:pt idx="13">
                  <c:v>0.15147048410696703</c:v>
                </c:pt>
                <c:pt idx="14">
                  <c:v>-1.3497113960228835</c:v>
                </c:pt>
                <c:pt idx="15">
                  <c:v>-1.0469938876082197</c:v>
                </c:pt>
                <c:pt idx="16">
                  <c:v>-1.6318833961033015</c:v>
                </c:pt>
                <c:pt idx="17">
                  <c:v>-0.87398920601015628</c:v>
                </c:pt>
                <c:pt idx="18">
                  <c:v>-1.4361648137745946</c:v>
                </c:pt>
                <c:pt idx="19">
                  <c:v>-0.99612775761484074</c:v>
                </c:pt>
                <c:pt idx="20">
                  <c:v>-0.14411660536554466</c:v>
                </c:pt>
                <c:pt idx="21">
                  <c:v>-0.27842090190907054</c:v>
                </c:pt>
                <c:pt idx="22">
                  <c:v>-1.037044185325052</c:v>
                </c:pt>
                <c:pt idx="23">
                  <c:v>-0.58104719884613332</c:v>
                </c:pt>
                <c:pt idx="24">
                  <c:v>-1.3101012668510117</c:v>
                </c:pt>
                <c:pt idx="25">
                  <c:v>-1.3734075914149459</c:v>
                </c:pt>
                <c:pt idx="26">
                  <c:v>-0.98685398073866915</c:v>
                </c:pt>
                <c:pt idx="27">
                  <c:v>-0.24368767865723473</c:v>
                </c:pt>
                <c:pt idx="28">
                  <c:v>0.41344398903171564</c:v>
                </c:pt>
                <c:pt idx="29">
                  <c:v>0.84847322364565936</c:v>
                </c:pt>
                <c:pt idx="30">
                  <c:v>-0.96881392804794531</c:v>
                </c:pt>
                <c:pt idx="31">
                  <c:v>-1.171180416091199E-2</c:v>
                </c:pt>
                <c:pt idx="32">
                  <c:v>1.0356176936992247</c:v>
                </c:pt>
                <c:pt idx="33">
                  <c:v>0.68928982291973184</c:v>
                </c:pt>
                <c:pt idx="34">
                  <c:v>0.33823564676139983</c:v>
                </c:pt>
                <c:pt idx="35">
                  <c:v>0.5440742129307099</c:v>
                </c:pt>
                <c:pt idx="36">
                  <c:v>0.35238324559485495</c:v>
                </c:pt>
                <c:pt idx="37">
                  <c:v>-0.22345648890376679</c:v>
                </c:pt>
                <c:pt idx="38">
                  <c:v>1.3661179367573162</c:v>
                </c:pt>
                <c:pt idx="39">
                  <c:v>-0.24240852464365006</c:v>
                </c:pt>
                <c:pt idx="40">
                  <c:v>0.6813783421874442</c:v>
                </c:pt>
                <c:pt idx="41">
                  <c:v>1.3482973659328301</c:v>
                </c:pt>
                <c:pt idx="42">
                  <c:v>-0.83906863835059653</c:v>
                </c:pt>
                <c:pt idx="43">
                  <c:v>-0.34067507808036596</c:v>
                </c:pt>
                <c:pt idx="44">
                  <c:v>-0.17564042210742015</c:v>
                </c:pt>
                <c:pt idx="45">
                  <c:v>1.1442645150909123</c:v>
                </c:pt>
                <c:pt idx="46">
                  <c:v>0.27469722115191347</c:v>
                </c:pt>
                <c:pt idx="47">
                  <c:v>-0.613083412915856</c:v>
                </c:pt>
                <c:pt idx="48">
                  <c:v>-0.34636772213651401</c:v>
                </c:pt>
                <c:pt idx="49">
                  <c:v>-0.92008579979812266</c:v>
                </c:pt>
                <c:pt idx="50">
                  <c:v>-0.87701329275561268</c:v>
                </c:pt>
                <c:pt idx="51">
                  <c:v>1.0544265386797538</c:v>
                </c:pt>
                <c:pt idx="52">
                  <c:v>0.64684391367871641</c:v>
                </c:pt>
                <c:pt idx="53">
                  <c:v>0.68171365345732715</c:v>
                </c:pt>
                <c:pt idx="54">
                  <c:v>0.53618148957873402</c:v>
                </c:pt>
                <c:pt idx="55">
                  <c:v>0.94251231335561703</c:v>
                </c:pt>
                <c:pt idx="56">
                  <c:v>-0.55025082647612877</c:v>
                </c:pt>
                <c:pt idx="57">
                  <c:v>-0.59781219267294805</c:v>
                </c:pt>
                <c:pt idx="58">
                  <c:v>0.58197043762361722</c:v>
                </c:pt>
                <c:pt idx="59">
                  <c:v>-1.3220948271394803</c:v>
                </c:pt>
                <c:pt idx="60">
                  <c:v>0.48640878006540628</c:v>
                </c:pt>
                <c:pt idx="61">
                  <c:v>-1.352964960278971E-2</c:v>
                </c:pt>
                <c:pt idx="62">
                  <c:v>-0.85392674610751773</c:v>
                </c:pt>
                <c:pt idx="63">
                  <c:v>0.17593198780351915</c:v>
                </c:pt>
                <c:pt idx="64">
                  <c:v>-9.2931289710751291E-2</c:v>
                </c:pt>
                <c:pt idx="65">
                  <c:v>-0.11262697516484804</c:v>
                </c:pt>
                <c:pt idx="66">
                  <c:v>-2.0332919814250587</c:v>
                </c:pt>
                <c:pt idx="67">
                  <c:v>-1.1708093899064191</c:v>
                </c:pt>
                <c:pt idx="68">
                  <c:v>0.3545366897185302</c:v>
                </c:pt>
                <c:pt idx="69">
                  <c:v>-0.26340990801496095</c:v>
                </c:pt>
                <c:pt idx="70">
                  <c:v>0.15204705736071725</c:v>
                </c:pt>
                <c:pt idx="71">
                  <c:v>-0.69340353300030022</c:v>
                </c:pt>
                <c:pt idx="72">
                  <c:v>1.84955443646512</c:v>
                </c:pt>
                <c:pt idx="73">
                  <c:v>-0.11097010415396218</c:v>
                </c:pt>
                <c:pt idx="74">
                  <c:v>-0.17282943085665523</c:v>
                </c:pt>
                <c:pt idx="75">
                  <c:v>0.35923611605895878</c:v>
                </c:pt>
                <c:pt idx="76">
                  <c:v>-1.4539716926235222</c:v>
                </c:pt>
                <c:pt idx="77">
                  <c:v>-0.26072994033856994</c:v>
                </c:pt>
                <c:pt idx="78">
                  <c:v>0.29603527059359996</c:v>
                </c:pt>
                <c:pt idx="79">
                  <c:v>1.3296113094510562</c:v>
                </c:pt>
                <c:pt idx="80">
                  <c:v>-0.82615537605845257</c:v>
                </c:pt>
                <c:pt idx="81">
                  <c:v>0.36432513107628972</c:v>
                </c:pt>
                <c:pt idx="82">
                  <c:v>-0.91070723460382796</c:v>
                </c:pt>
                <c:pt idx="83">
                  <c:v>-1.7580579336725932</c:v>
                </c:pt>
                <c:pt idx="84">
                  <c:v>0.88258809309228492</c:v>
                </c:pt>
                <c:pt idx="85">
                  <c:v>-0.75294459880420261</c:v>
                </c:pt>
                <c:pt idx="86">
                  <c:v>-0.24631053384245286</c:v>
                </c:pt>
                <c:pt idx="87">
                  <c:v>0.5305294588726871</c:v>
                </c:pt>
                <c:pt idx="88">
                  <c:v>-1.1691122434485337</c:v>
                </c:pt>
                <c:pt idx="89">
                  <c:v>0.30331073344156767</c:v>
                </c:pt>
                <c:pt idx="90">
                  <c:v>-0.14127599431402488</c:v>
                </c:pt>
                <c:pt idx="91">
                  <c:v>0.21717860998400287</c:v>
                </c:pt>
                <c:pt idx="92">
                  <c:v>0.98174949373063569</c:v>
                </c:pt>
                <c:pt idx="93">
                  <c:v>-0.28365369308412708</c:v>
                </c:pt>
                <c:pt idx="94">
                  <c:v>-0.60839935322292471</c:v>
                </c:pt>
                <c:pt idx="95">
                  <c:v>1.9594754274132862</c:v>
                </c:pt>
                <c:pt idx="96">
                  <c:v>1.8464425263006767</c:v>
                </c:pt>
                <c:pt idx="97">
                  <c:v>-0.83462355644863118</c:v>
                </c:pt>
                <c:pt idx="98">
                  <c:v>-0.53570817210890487</c:v>
                </c:pt>
                <c:pt idx="99">
                  <c:v>-1.9559791378769103E-2</c:v>
                </c:pt>
                <c:pt idx="100">
                  <c:v>-0.16371423313944022</c:v>
                </c:pt>
                <c:pt idx="101">
                  <c:v>-1.2924497581599157</c:v>
                </c:pt>
                <c:pt idx="102">
                  <c:v>-1.1019942031540653</c:v>
                </c:pt>
                <c:pt idx="103">
                  <c:v>0.26159940944948162</c:v>
                </c:pt>
                <c:pt idx="104">
                  <c:v>0.83481491182630674</c:v>
                </c:pt>
                <c:pt idx="105">
                  <c:v>5.180456838356999E-2</c:v>
                </c:pt>
                <c:pt idx="106">
                  <c:v>0.54895908153049444</c:v>
                </c:pt>
                <c:pt idx="107">
                  <c:v>1.0415535311395683</c:v>
                </c:pt>
                <c:pt idx="108">
                  <c:v>0.36173120897432826</c:v>
                </c:pt>
                <c:pt idx="109">
                  <c:v>1.5314652405529749</c:v>
                </c:pt>
                <c:pt idx="110">
                  <c:v>-0.26593830522943607</c:v>
                </c:pt>
                <c:pt idx="111">
                  <c:v>0.6356645541728575</c:v>
                </c:pt>
                <c:pt idx="112">
                  <c:v>1.383436530398173</c:v>
                </c:pt>
                <c:pt idx="113">
                  <c:v>-0.11624250598286764</c:v>
                </c:pt>
                <c:pt idx="114">
                  <c:v>-0.31643915117660731</c:v>
                </c:pt>
                <c:pt idx="115">
                  <c:v>2.5313875631745626</c:v>
                </c:pt>
                <c:pt idx="116">
                  <c:v>-0.30936652037149703</c:v>
                </c:pt>
                <c:pt idx="117">
                  <c:v>-0.3647592000701772</c:v>
                </c:pt>
                <c:pt idx="118">
                  <c:v>1.40914692128476</c:v>
                </c:pt>
                <c:pt idx="119">
                  <c:v>-0.14125951791748423</c:v>
                </c:pt>
                <c:pt idx="120">
                  <c:v>0.10025130993230376</c:v>
                </c:pt>
                <c:pt idx="121">
                  <c:v>-8.3310008877265945E-2</c:v>
                </c:pt>
                <c:pt idx="122">
                  <c:v>-0.2795579567436115</c:v>
                </c:pt>
                <c:pt idx="123">
                  <c:v>0.59517198719971298</c:v>
                </c:pt>
                <c:pt idx="124">
                  <c:v>0.75483752227477363</c:v>
                </c:pt>
                <c:pt idx="125">
                  <c:v>0.59428663978718976</c:v>
                </c:pt>
                <c:pt idx="126">
                  <c:v>9.5423300162257793E-2</c:v>
                </c:pt>
                <c:pt idx="127">
                  <c:v>-0.89742776941936808</c:v>
                </c:pt>
                <c:pt idx="128">
                  <c:v>-0.85027782998972223</c:v>
                </c:pt>
                <c:pt idx="129">
                  <c:v>0.84296129511543505</c:v>
                </c:pt>
                <c:pt idx="130">
                  <c:v>0.46188163444535346</c:v>
                </c:pt>
                <c:pt idx="131">
                  <c:v>-6.6907324821410361E-2</c:v>
                </c:pt>
                <c:pt idx="132">
                  <c:v>-0.90275897813039463</c:v>
                </c:pt>
                <c:pt idx="133">
                  <c:v>0.57939966976536927</c:v>
                </c:pt>
                <c:pt idx="134">
                  <c:v>0.92377891219673847</c:v>
                </c:pt>
                <c:pt idx="135">
                  <c:v>-1.0388582816714151</c:v>
                </c:pt>
                <c:pt idx="136">
                  <c:v>-0.57676145688026148</c:v>
                </c:pt>
                <c:pt idx="137">
                  <c:v>0.75614401320991775</c:v>
                </c:pt>
                <c:pt idx="138">
                  <c:v>0.84203312412671083</c:v>
                </c:pt>
                <c:pt idx="139">
                  <c:v>-0.36090047199396308</c:v>
                </c:pt>
                <c:pt idx="140">
                  <c:v>0.71825933444988588</c:v>
                </c:pt>
                <c:pt idx="141">
                  <c:v>-0.10553746767226525</c:v>
                </c:pt>
                <c:pt idx="142">
                  <c:v>-1.4906429545993358</c:v>
                </c:pt>
                <c:pt idx="143">
                  <c:v>-0.91275475265362949</c:v>
                </c:pt>
                <c:pt idx="144">
                  <c:v>0.40328601236474676</c:v>
                </c:pt>
                <c:pt idx="145">
                  <c:v>-0.60421304186528746</c:v>
                </c:pt>
                <c:pt idx="146">
                  <c:v>1.209026299504637</c:v>
                </c:pt>
                <c:pt idx="147">
                  <c:v>2.77612403881656</c:v>
                </c:pt>
                <c:pt idx="148">
                  <c:v>1.2423850359207989</c:v>
                </c:pt>
                <c:pt idx="149">
                  <c:v>-0.72344204227751019</c:v>
                </c:pt>
                <c:pt idx="150">
                  <c:v>0.94917139583051779</c:v>
                </c:pt>
                <c:pt idx="151">
                  <c:v>-0.11586562116352835</c:v>
                </c:pt>
                <c:pt idx="152">
                  <c:v>0.29288612417862159</c:v>
                </c:pt>
                <c:pt idx="153">
                  <c:v>5.3481191118387734</c:v>
                </c:pt>
                <c:pt idx="154">
                  <c:v>0.42540392422968021</c:v>
                </c:pt>
                <c:pt idx="155">
                  <c:v>0.25265350310768248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D1-9249-BEBB-1EB9D07FACF3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10.501804133081638</c:v>
              </c:pt>
            </c:numLit>
          </c:xVal>
          <c:yVal>
            <c:numLit>
              <c:formatCode>General</c:formatCode>
              <c:ptCount val="1"/>
              <c:pt idx="0">
                <c:v>-1.095947839166509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D1-9249-BEBB-1EB9D07FA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723279"/>
        <c:axId val="1844661199"/>
      </c:scatterChart>
      <c:valAx>
        <c:axId val="1844723279"/>
        <c:scaling>
          <c:orientation val="minMax"/>
          <c:max val="12.5"/>
          <c:min val="9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Pred(Ln(UVolJO))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4661199"/>
        <c:crosses val="autoZero"/>
        <c:crossBetween val="midCat"/>
      </c:valAx>
      <c:valAx>
        <c:axId val="1844661199"/>
        <c:scaling>
          <c:orientation val="minMax"/>
          <c:max val="6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472327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Pred(Ln(UVolJO)) - Ln(UVolJO)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'Regr-SalesJO'!$E$115:$E$270</c:f>
              <c:numCache>
                <c:formatCode>0.000</c:formatCode>
                <c:ptCount val="156"/>
                <c:pt idx="0">
                  <c:v>10.489384765061777</c:v>
                </c:pt>
                <c:pt idx="1">
                  <c:v>10.501804133081638</c:v>
                </c:pt>
                <c:pt idx="2">
                  <c:v>11.466575040880732</c:v>
                </c:pt>
                <c:pt idx="3">
                  <c:v>10.440872305030982</c:v>
                </c:pt>
                <c:pt idx="4">
                  <c:v>10.785417402789367</c:v>
                </c:pt>
                <c:pt idx="5">
                  <c:v>10.522595346964197</c:v>
                </c:pt>
                <c:pt idx="6">
                  <c:v>10.279510913182881</c:v>
                </c:pt>
                <c:pt idx="7">
                  <c:v>10.962215766561787</c:v>
                </c:pt>
                <c:pt idx="8">
                  <c:v>10.464967559023645</c:v>
                </c:pt>
                <c:pt idx="9">
                  <c:v>10.508736446796249</c:v>
                </c:pt>
                <c:pt idx="10">
                  <c:v>10.193609483197166</c:v>
                </c:pt>
                <c:pt idx="11">
                  <c:v>10.379944845546934</c:v>
                </c:pt>
                <c:pt idx="12">
                  <c:v>10.526935695240674</c:v>
                </c:pt>
                <c:pt idx="13">
                  <c:v>11.003301979531997</c:v>
                </c:pt>
                <c:pt idx="14">
                  <c:v>10.501627304076091</c:v>
                </c:pt>
                <c:pt idx="15">
                  <c:v>10.789876432118875</c:v>
                </c:pt>
                <c:pt idx="16">
                  <c:v>10.550719269672697</c:v>
                </c:pt>
                <c:pt idx="17">
                  <c:v>10.418372322930377</c:v>
                </c:pt>
                <c:pt idx="18">
                  <c:v>10.468311109344789</c:v>
                </c:pt>
                <c:pt idx="19">
                  <c:v>10.468622940922977</c:v>
                </c:pt>
                <c:pt idx="20">
                  <c:v>10.459603300454853</c:v>
                </c:pt>
                <c:pt idx="21">
                  <c:v>10.549796219498379</c:v>
                </c:pt>
                <c:pt idx="22">
                  <c:v>10.455048019740786</c:v>
                </c:pt>
                <c:pt idx="23">
                  <c:v>11.066899657479443</c:v>
                </c:pt>
                <c:pt idx="24">
                  <c:v>10.582990956444853</c:v>
                </c:pt>
                <c:pt idx="25">
                  <c:v>10.481471858172235</c:v>
                </c:pt>
                <c:pt idx="26">
                  <c:v>9.9133123504342855</c:v>
                </c:pt>
                <c:pt idx="27">
                  <c:v>11.031269030399194</c:v>
                </c:pt>
                <c:pt idx="28">
                  <c:v>9.8755176050368547</c:v>
                </c:pt>
                <c:pt idx="29">
                  <c:v>9.7056362694954075</c:v>
                </c:pt>
                <c:pt idx="30">
                  <c:v>11.031556965453817</c:v>
                </c:pt>
                <c:pt idx="31">
                  <c:v>9.8864660468765457</c:v>
                </c:pt>
                <c:pt idx="32">
                  <c:v>9.8608014722510759</c:v>
                </c:pt>
                <c:pt idx="33">
                  <c:v>11.56186332700619</c:v>
                </c:pt>
                <c:pt idx="34">
                  <c:v>9.9576942755586053</c:v>
                </c:pt>
                <c:pt idx="35">
                  <c:v>9.7329781351003781</c:v>
                </c:pt>
                <c:pt idx="36">
                  <c:v>9.8211432171017528</c:v>
                </c:pt>
                <c:pt idx="37">
                  <c:v>11.097561165483604</c:v>
                </c:pt>
                <c:pt idx="38">
                  <c:v>9.7543897298825115</c:v>
                </c:pt>
                <c:pt idx="39">
                  <c:v>9.8146949190088506</c:v>
                </c:pt>
                <c:pt idx="40">
                  <c:v>9.8614036435635093</c:v>
                </c:pt>
                <c:pt idx="41">
                  <c:v>9.7988619024471681</c:v>
                </c:pt>
                <c:pt idx="42">
                  <c:v>11.046649456830082</c:v>
                </c:pt>
                <c:pt idx="43">
                  <c:v>9.9438261965662527</c:v>
                </c:pt>
                <c:pt idx="44">
                  <c:v>9.7074754514360215</c:v>
                </c:pt>
                <c:pt idx="45">
                  <c:v>10.438617171780736</c:v>
                </c:pt>
                <c:pt idx="46">
                  <c:v>11.424113385551617</c:v>
                </c:pt>
                <c:pt idx="47">
                  <c:v>11.413897979381638</c:v>
                </c:pt>
                <c:pt idx="48">
                  <c:v>9.9775909812663777</c:v>
                </c:pt>
                <c:pt idx="49">
                  <c:v>12.143754962177512</c:v>
                </c:pt>
                <c:pt idx="50">
                  <c:v>10.148519542783944</c:v>
                </c:pt>
                <c:pt idx="51">
                  <c:v>9.7924303776707156</c:v>
                </c:pt>
                <c:pt idx="52">
                  <c:v>9.7723885194137559</c:v>
                </c:pt>
                <c:pt idx="53">
                  <c:v>9.8535562210272545</c:v>
                </c:pt>
                <c:pt idx="54">
                  <c:v>11.103094265229917</c:v>
                </c:pt>
                <c:pt idx="55">
                  <c:v>9.7383112967524248</c:v>
                </c:pt>
                <c:pt idx="56">
                  <c:v>9.8752123142921242</c:v>
                </c:pt>
                <c:pt idx="57">
                  <c:v>9.9119685628395686</c:v>
                </c:pt>
                <c:pt idx="58">
                  <c:v>11.70650499938565</c:v>
                </c:pt>
                <c:pt idx="59">
                  <c:v>10.19520951990045</c:v>
                </c:pt>
                <c:pt idx="60">
                  <c:v>9.9114109092052871</c:v>
                </c:pt>
                <c:pt idx="61">
                  <c:v>11.163858688727027</c:v>
                </c:pt>
                <c:pt idx="62">
                  <c:v>10.071119446951156</c:v>
                </c:pt>
                <c:pt idx="63">
                  <c:v>9.5635839139960641</c:v>
                </c:pt>
                <c:pt idx="64">
                  <c:v>9.7699745314096429</c:v>
                </c:pt>
                <c:pt idx="65">
                  <c:v>11.654050520424045</c:v>
                </c:pt>
                <c:pt idx="66">
                  <c:v>10.221760654034682</c:v>
                </c:pt>
                <c:pt idx="67">
                  <c:v>9.9161825450292582</c:v>
                </c:pt>
                <c:pt idx="68">
                  <c:v>11.012394560127772</c:v>
                </c:pt>
                <c:pt idx="69">
                  <c:v>9.87325200797215</c:v>
                </c:pt>
                <c:pt idx="70">
                  <c:v>9.8569045201060739</c:v>
                </c:pt>
                <c:pt idx="71">
                  <c:v>9.808028220828783</c:v>
                </c:pt>
                <c:pt idx="72">
                  <c:v>10.464421814879032</c:v>
                </c:pt>
                <c:pt idx="73">
                  <c:v>9.8904948142133264</c:v>
                </c:pt>
                <c:pt idx="74">
                  <c:v>9.7554604167425119</c:v>
                </c:pt>
                <c:pt idx="75">
                  <c:v>11.181169313754573</c:v>
                </c:pt>
                <c:pt idx="76">
                  <c:v>10.019764772844505</c:v>
                </c:pt>
                <c:pt idx="77">
                  <c:v>9.7982227474127797</c:v>
                </c:pt>
                <c:pt idx="78">
                  <c:v>9.7518330102131738</c:v>
                </c:pt>
                <c:pt idx="79">
                  <c:v>10.706844855714733</c:v>
                </c:pt>
                <c:pt idx="80">
                  <c:v>9.9528316789096163</c:v>
                </c:pt>
                <c:pt idx="81">
                  <c:v>9.7147652270756524</c:v>
                </c:pt>
                <c:pt idx="82">
                  <c:v>9.8003488276702821</c:v>
                </c:pt>
                <c:pt idx="83">
                  <c:v>9.9693239937701765</c:v>
                </c:pt>
                <c:pt idx="84">
                  <c:v>10.74934582127409</c:v>
                </c:pt>
                <c:pt idx="85">
                  <c:v>9.9103227816119777</c:v>
                </c:pt>
                <c:pt idx="86">
                  <c:v>9.8229400025279521</c:v>
                </c:pt>
                <c:pt idx="87">
                  <c:v>10.62570659990752</c:v>
                </c:pt>
                <c:pt idx="88">
                  <c:v>9.9415225868277037</c:v>
                </c:pt>
                <c:pt idx="89">
                  <c:v>11.120485240923339</c:v>
                </c:pt>
                <c:pt idx="90">
                  <c:v>9.8268838290917753</c:v>
                </c:pt>
                <c:pt idx="91">
                  <c:v>9.840416998476524</c:v>
                </c:pt>
                <c:pt idx="92">
                  <c:v>10.738359441526905</c:v>
                </c:pt>
                <c:pt idx="93">
                  <c:v>9.9627061068063654</c:v>
                </c:pt>
                <c:pt idx="94">
                  <c:v>10.810526865819373</c:v>
                </c:pt>
                <c:pt idx="95">
                  <c:v>11.11932164438922</c:v>
                </c:pt>
                <c:pt idx="96">
                  <c:v>10.89072825182628</c:v>
                </c:pt>
                <c:pt idx="97">
                  <c:v>9.8121635385373196</c:v>
                </c:pt>
                <c:pt idx="98">
                  <c:v>9.7176868510302796</c:v>
                </c:pt>
                <c:pt idx="99">
                  <c:v>9.7420583696416081</c:v>
                </c:pt>
                <c:pt idx="100">
                  <c:v>9.8068689364597681</c:v>
                </c:pt>
                <c:pt idx="101">
                  <c:v>12.021433690233936</c:v>
                </c:pt>
                <c:pt idx="102">
                  <c:v>10.184326378314834</c:v>
                </c:pt>
                <c:pt idx="103">
                  <c:v>9.7655390193361882</c:v>
                </c:pt>
                <c:pt idx="104">
                  <c:v>9.8536567769502064</c:v>
                </c:pt>
                <c:pt idx="105">
                  <c:v>9.874890659181478</c:v>
                </c:pt>
                <c:pt idx="106">
                  <c:v>11.144768036387244</c:v>
                </c:pt>
                <c:pt idx="107">
                  <c:v>9.8704326636728084</c:v>
                </c:pt>
                <c:pt idx="108">
                  <c:v>9.781035445477098</c:v>
                </c:pt>
                <c:pt idx="109">
                  <c:v>10.225571444111338</c:v>
                </c:pt>
                <c:pt idx="110">
                  <c:v>9.9769279876562109</c:v>
                </c:pt>
                <c:pt idx="111">
                  <c:v>9.8859887557785662</c:v>
                </c:pt>
                <c:pt idx="112">
                  <c:v>10.685854515787758</c:v>
                </c:pt>
                <c:pt idx="113">
                  <c:v>9.9334508803257897</c:v>
                </c:pt>
                <c:pt idx="114">
                  <c:v>9.8872888702973754</c:v>
                </c:pt>
                <c:pt idx="115">
                  <c:v>11.409394665107001</c:v>
                </c:pt>
                <c:pt idx="116">
                  <c:v>10.047599833670905</c:v>
                </c:pt>
                <c:pt idx="117">
                  <c:v>9.8631033722029198</c:v>
                </c:pt>
                <c:pt idx="118">
                  <c:v>10.646955793336963</c:v>
                </c:pt>
                <c:pt idx="119">
                  <c:v>9.9389101480913862</c:v>
                </c:pt>
                <c:pt idx="120">
                  <c:v>9.9572168364419849</c:v>
                </c:pt>
                <c:pt idx="121">
                  <c:v>9.9494079323092528</c:v>
                </c:pt>
                <c:pt idx="122">
                  <c:v>10.000285940919495</c:v>
                </c:pt>
                <c:pt idx="123">
                  <c:v>9.6945441881930154</c:v>
                </c:pt>
                <c:pt idx="124">
                  <c:v>9.7218797283602907</c:v>
                </c:pt>
                <c:pt idx="125">
                  <c:v>9.8244223370830461</c:v>
                </c:pt>
                <c:pt idx="126">
                  <c:v>10.708152241259329</c:v>
                </c:pt>
                <c:pt idx="127">
                  <c:v>10.014660678725052</c:v>
                </c:pt>
                <c:pt idx="128">
                  <c:v>9.8760521451241168</c:v>
                </c:pt>
                <c:pt idx="129">
                  <c:v>9.7016449212375111</c:v>
                </c:pt>
                <c:pt idx="130">
                  <c:v>11.543362336550071</c:v>
                </c:pt>
                <c:pt idx="131">
                  <c:v>9.8517384112544981</c:v>
                </c:pt>
                <c:pt idx="132">
                  <c:v>9.8281055087391067</c:v>
                </c:pt>
                <c:pt idx="133">
                  <c:v>9.7705660345665475</c:v>
                </c:pt>
                <c:pt idx="134">
                  <c:v>10.715266898877518</c:v>
                </c:pt>
                <c:pt idx="135">
                  <c:v>10.044322744020389</c:v>
                </c:pt>
                <c:pt idx="136">
                  <c:v>9.7325910643675186</c:v>
                </c:pt>
                <c:pt idx="137">
                  <c:v>10.719179859288275</c:v>
                </c:pt>
                <c:pt idx="138">
                  <c:v>9.7010134033446054</c:v>
                </c:pt>
                <c:pt idx="139">
                  <c:v>9.7351064613610525</c:v>
                </c:pt>
                <c:pt idx="140">
                  <c:v>9.7298363466539008</c:v>
                </c:pt>
                <c:pt idx="141">
                  <c:v>11.600420427662485</c:v>
                </c:pt>
                <c:pt idx="142">
                  <c:v>10.201164335315497</c:v>
                </c:pt>
                <c:pt idx="143">
                  <c:v>9.876678832265819</c:v>
                </c:pt>
                <c:pt idx="144">
                  <c:v>10.787176950966254</c:v>
                </c:pt>
                <c:pt idx="145">
                  <c:v>10.080114484816864</c:v>
                </c:pt>
                <c:pt idx="146">
                  <c:v>10.361653329427126</c:v>
                </c:pt>
                <c:pt idx="147">
                  <c:v>10.632710575256095</c:v>
                </c:pt>
                <c:pt idx="148">
                  <c:v>10.680737033568381</c:v>
                </c:pt>
                <c:pt idx="149">
                  <c:v>9.8084967895042059</c:v>
                </c:pt>
                <c:pt idx="150">
                  <c:v>9.6741132223599422</c:v>
                </c:pt>
                <c:pt idx="151">
                  <c:v>9.9148122737183062</c:v>
                </c:pt>
                <c:pt idx="152">
                  <c:v>9.2300211326029338</c:v>
                </c:pt>
                <c:pt idx="153">
                  <c:v>9.8808537964657415</c:v>
                </c:pt>
                <c:pt idx="154">
                  <c:v>9.2120529857076594</c:v>
                </c:pt>
                <c:pt idx="155">
                  <c:v>9.7141689673032605</c:v>
                </c:pt>
              </c:numCache>
            </c:numRef>
          </c:xVal>
          <c:yVal>
            <c:numRef>
              <c:f>'Regr-SalesJO'!$D$115:$D$270</c:f>
              <c:numCache>
                <c:formatCode>0.000</c:formatCode>
                <c:ptCount val="156"/>
                <c:pt idx="0">
                  <c:v>10.513660649802818</c:v>
                </c:pt>
                <c:pt idx="1">
                  <c:v>10.275706066850656</c:v>
                </c:pt>
                <c:pt idx="2">
                  <c:v>11.287203592641218</c:v>
                </c:pt>
                <c:pt idx="3">
                  <c:v>10.375832189483837</c:v>
                </c:pt>
                <c:pt idx="4">
                  <c:v>10.519807682982748</c:v>
                </c:pt>
                <c:pt idx="5">
                  <c:v>10.381831306056865</c:v>
                </c:pt>
                <c:pt idx="6">
                  <c:v>10.33432796697552</c:v>
                </c:pt>
                <c:pt idx="7">
                  <c:v>11.223241389847775</c:v>
                </c:pt>
                <c:pt idx="8">
                  <c:v>10.4052623407817</c:v>
                </c:pt>
                <c:pt idx="9">
                  <c:v>10.234624151353531</c:v>
                </c:pt>
                <c:pt idx="10">
                  <c:v>9.9622751940192167</c:v>
                </c:pt>
                <c:pt idx="11">
                  <c:v>10.258956769878603</c:v>
                </c:pt>
                <c:pt idx="12">
                  <c:v>10.355836246543143</c:v>
                </c:pt>
                <c:pt idx="13">
                  <c:v>11.03455089697473</c:v>
                </c:pt>
                <c:pt idx="14">
                  <c:v>10.223176883622889</c:v>
                </c:pt>
                <c:pt idx="15">
                  <c:v>10.573877745973457</c:v>
                </c:pt>
                <c:pt idx="16">
                  <c:v>10.214055728774611</c:v>
                </c:pt>
                <c:pt idx="17">
                  <c:v>10.238065138296543</c:v>
                </c:pt>
                <c:pt idx="18">
                  <c:v>10.172025031140222</c:v>
                </c:pt>
                <c:pt idx="19">
                  <c:v>10.263118124300494</c:v>
                </c:pt>
                <c:pt idx="20">
                  <c:v>10.429871515217972</c:v>
                </c:pt>
                <c:pt idx="21">
                  <c:v>10.492356964389485</c:v>
                </c:pt>
                <c:pt idx="22">
                  <c:v>10.241101993736118</c:v>
                </c:pt>
                <c:pt idx="23">
                  <c:v>10.947027485325746</c:v>
                </c:pt>
                <c:pt idx="24">
                  <c:v>10.312712251185442</c:v>
                </c:pt>
                <c:pt idx="25">
                  <c:v>10.198132825539048</c:v>
                </c:pt>
                <c:pt idx="26">
                  <c:v>9.7097207480574319</c:v>
                </c:pt>
                <c:pt idx="27">
                  <c:v>10.980995366872817</c:v>
                </c:pt>
                <c:pt idx="28">
                  <c:v>9.9608126191553978</c:v>
                </c:pt>
                <c:pt idx="29">
                  <c:v>9.8806794132101192</c:v>
                </c:pt>
                <c:pt idx="30">
                  <c:v>10.83168709223442</c:v>
                </c:pt>
                <c:pt idx="31">
                  <c:v>9.8840498586436532</c:v>
                </c:pt>
                <c:pt idx="32">
                  <c:v>10.074453207791757</c:v>
                </c:pt>
                <c:pt idx="33">
                  <c:v>11.704066350238913</c:v>
                </c:pt>
                <c:pt idx="34">
                  <c:v>10.027473532317119</c:v>
                </c:pt>
                <c:pt idx="35">
                  <c:v>9.8452226444041528</c:v>
                </c:pt>
                <c:pt idx="36">
                  <c:v>9.8938411754843223</c:v>
                </c:pt>
                <c:pt idx="37">
                  <c:v>11.051461270741962</c:v>
                </c:pt>
                <c:pt idx="38">
                  <c:v>10.036224879974322</c:v>
                </c:pt>
                <c:pt idx="39">
                  <c:v>9.7646851496556692</c:v>
                </c:pt>
                <c:pt idx="40">
                  <c:v>10.001974499250782</c:v>
                </c:pt>
                <c:pt idx="41">
                  <c:v>10.077020603297003</c:v>
                </c:pt>
                <c:pt idx="42">
                  <c:v>10.873546513618466</c:v>
                </c:pt>
                <c:pt idx="43">
                  <c:v>9.8735436761630559</c:v>
                </c:pt>
                <c:pt idx="44">
                  <c:v>9.6712401869724474</c:v>
                </c:pt>
                <c:pt idx="45">
                  <c:v>10.67468314579237</c:v>
                </c:pt>
                <c:pt idx="46">
                  <c:v>11.480784431637813</c:v>
                </c:pt>
                <c:pt idx="47">
                  <c:v>11.287416618549733</c:v>
                </c:pt>
                <c:pt idx="48">
                  <c:v>9.9061340474770336</c:v>
                </c:pt>
                <c:pt idx="49">
                  <c:v>11.953937880865364</c:v>
                </c:pt>
                <c:pt idx="50">
                  <c:v>9.9675884779426518</c:v>
                </c:pt>
                <c:pt idx="51">
                  <c:v>10.009962447043133</c:v>
                </c:pt>
                <c:pt idx="52">
                  <c:v>9.905834795604477</c:v>
                </c:pt>
                <c:pt idx="53">
                  <c:v>9.99419625266159</c:v>
                </c:pt>
                <c:pt idx="54">
                  <c:v>11.213710476704723</c:v>
                </c:pt>
                <c:pt idx="55">
                  <c:v>9.9327550502166968</c:v>
                </c:pt>
                <c:pt idx="56">
                  <c:v>9.7616935469182415</c:v>
                </c:pt>
                <c:pt idx="57">
                  <c:v>9.788637710857186</c:v>
                </c:pt>
                <c:pt idx="58">
                  <c:v>11.826567639091541</c:v>
                </c:pt>
                <c:pt idx="59">
                  <c:v>9.9224564990837312</c:v>
                </c:pt>
                <c:pt idx="60">
                  <c:v>10.011758827819916</c:v>
                </c:pt>
                <c:pt idx="61">
                  <c:v>11.161067472299884</c:v>
                </c:pt>
                <c:pt idx="62">
                  <c:v>9.8949512215138409</c:v>
                </c:pt>
                <c:pt idx="63">
                  <c:v>9.5998793295340885</c:v>
                </c:pt>
                <c:pt idx="64">
                  <c:v>9.7508024648704801</c:v>
                </c:pt>
                <c:pt idx="65">
                  <c:v>11.630815161604794</c:v>
                </c:pt>
                <c:pt idx="66">
                  <c:v>9.8022850470269649</c:v>
                </c:pt>
                <c:pt idx="67">
                  <c:v>9.6746402658052393</c:v>
                </c:pt>
                <c:pt idx="68">
                  <c:v>11.085536781945789</c:v>
                </c:pt>
                <c:pt idx="69">
                  <c:v>9.8189095760608307</c:v>
                </c:pt>
                <c:pt idx="70">
                  <c:v>9.888272386729648</c:v>
                </c:pt>
                <c:pt idx="71">
                  <c:v>9.6649765240907968</c:v>
                </c:pt>
                <c:pt idx="72">
                  <c:v>10.845991691226187</c:v>
                </c:pt>
                <c:pt idx="73">
                  <c:v>9.8676012739717187</c:v>
                </c:pt>
                <c:pt idx="74">
                  <c:v>9.7198050701028311</c:v>
                </c:pt>
                <c:pt idx="75">
                  <c:v>11.255281044494451</c:v>
                </c:pt>
                <c:pt idx="76">
                  <c:v>9.7198050701028311</c:v>
                </c:pt>
                <c:pt idx="77">
                  <c:v>9.7444332026805203</c:v>
                </c:pt>
                <c:pt idx="78">
                  <c:v>9.8129061743048904</c:v>
                </c:pt>
                <c:pt idx="79">
                  <c:v>10.981148554451305</c:v>
                </c:pt>
                <c:pt idx="80">
                  <c:v>9.7823927891580702</c:v>
                </c:pt>
                <c:pt idx="81">
                  <c:v>9.7899268403129618</c:v>
                </c:pt>
                <c:pt idx="82">
                  <c:v>9.6124665788188324</c:v>
                </c:pt>
                <c:pt idx="83">
                  <c:v>9.6066301821488942</c:v>
                </c:pt>
                <c:pt idx="84">
                  <c:v>10.931426987909191</c:v>
                </c:pt>
                <c:pt idx="85">
                  <c:v>9.7549875442176841</c:v>
                </c:pt>
                <c:pt idx="86">
                  <c:v>9.7721252343393008</c:v>
                </c:pt>
                <c:pt idx="87">
                  <c:v>10.735156776679537</c:v>
                </c:pt>
                <c:pt idx="88">
                  <c:v>9.7003304351540347</c:v>
                </c:pt>
                <c:pt idx="89">
                  <c:v>11.183059359733951</c:v>
                </c:pt>
                <c:pt idx="90">
                  <c:v>9.7977380723525194</c:v>
                </c:pt>
                <c:pt idx="91">
                  <c:v>9.885221743729236</c:v>
                </c:pt>
                <c:pt idx="92">
                  <c:v>10.940897969477794</c:v>
                </c:pt>
                <c:pt idx="93">
                  <c:v>9.9041873076504015</c:v>
                </c:pt>
                <c:pt idx="94">
                  <c:v>10.685011843713486</c:v>
                </c:pt>
                <c:pt idx="95">
                  <c:v>11.523568625068709</c:v>
                </c:pt>
                <c:pt idx="96">
                  <c:v>11.271656129671937</c:v>
                </c:pt>
                <c:pt idx="97">
                  <c:v>9.6399776320553325</c:v>
                </c:pt>
                <c:pt idx="98">
                  <c:v>9.6071682866886832</c:v>
                </c:pt>
                <c:pt idx="99">
                  <c:v>9.7380231128085963</c:v>
                </c:pt>
                <c:pt idx="100">
                  <c:v>9.7730940886025319</c:v>
                </c:pt>
                <c:pt idx="101">
                  <c:v>11.754796556077171</c:v>
                </c:pt>
                <c:pt idx="102">
                  <c:v>9.9569809249761274</c:v>
                </c:pt>
                <c:pt idx="103">
                  <c:v>9.8195079387408537</c:v>
                </c:pt>
                <c:pt idx="104">
                  <c:v>10.025882160749735</c:v>
                </c:pt>
                <c:pt idx="105">
                  <c:v>9.8855781319925597</c:v>
                </c:pt>
                <c:pt idx="106">
                  <c:v>11.258020312032384</c:v>
                </c:pt>
                <c:pt idx="107">
                  <c:v>10.0853089842884</c:v>
                </c:pt>
                <c:pt idx="108">
                  <c:v>9.855661923053523</c:v>
                </c:pt>
                <c:pt idx="109">
                  <c:v>10.541518350537407</c:v>
                </c:pt>
                <c:pt idx="110">
                  <c:v>9.9220639381090638</c:v>
                </c:pt>
                <c:pt idx="111">
                  <c:v>10.017128689025176</c:v>
                </c:pt>
                <c:pt idx="112">
                  <c:v>10.971262555384069</c:v>
                </c:pt>
                <c:pt idx="113">
                  <c:v>9.9094696242136759</c:v>
                </c:pt>
                <c:pt idx="114">
                  <c:v>9.8220063106682449</c:v>
                </c:pt>
                <c:pt idx="115">
                  <c:v>11.931629220859403</c:v>
                </c:pt>
                <c:pt idx="116">
                  <c:v>9.9837763837649316</c:v>
                </c:pt>
                <c:pt idx="117">
                  <c:v>9.7878522089372044</c:v>
                </c:pt>
                <c:pt idx="118">
                  <c:v>10.937667981044848</c:v>
                </c:pt>
                <c:pt idx="119">
                  <c:v>9.9097677904932784</c:v>
                </c:pt>
                <c:pt idx="120">
                  <c:v>9.9778990500499383</c:v>
                </c:pt>
                <c:pt idx="121">
                  <c:v>9.9322207713590007</c:v>
                </c:pt>
                <c:pt idx="122">
                  <c:v>9.9426121072201781</c:v>
                </c:pt>
                <c:pt idx="123">
                  <c:v>9.8173303560849536</c:v>
                </c:pt>
                <c:pt idx="124">
                  <c:v>9.877605482822025</c:v>
                </c:pt>
                <c:pt idx="125">
                  <c:v>9.9470258545506116</c:v>
                </c:pt>
                <c:pt idx="126">
                  <c:v>10.727838418711418</c:v>
                </c:pt>
                <c:pt idx="127">
                  <c:v>9.8295180323359528</c:v>
                </c:pt>
                <c:pt idx="128">
                  <c:v>9.7006367044896802</c:v>
                </c:pt>
                <c:pt idx="129">
                  <c:v>9.8755509338431047</c:v>
                </c:pt>
                <c:pt idx="130">
                  <c:v>11.638650214899393</c:v>
                </c:pt>
                <c:pt idx="131">
                  <c:v>9.8379351842958922</c:v>
                </c:pt>
                <c:pt idx="132">
                  <c:v>9.6418630144036364</c:v>
                </c:pt>
                <c:pt idx="133">
                  <c:v>9.8900983154171112</c:v>
                </c:pt>
                <c:pt idx="134">
                  <c:v>10.905845882847675</c:v>
                </c:pt>
                <c:pt idx="135">
                  <c:v>9.8300024632736509</c:v>
                </c:pt>
                <c:pt idx="136">
                  <c:v>9.613603056529147</c:v>
                </c:pt>
                <c:pt idx="137">
                  <c:v>10.875175147630571</c:v>
                </c:pt>
                <c:pt idx="138">
                  <c:v>9.8747279308647027</c:v>
                </c:pt>
                <c:pt idx="139">
                  <c:v>9.6606513678761825</c:v>
                </c:pt>
                <c:pt idx="140">
                  <c:v>9.8780158865624585</c:v>
                </c:pt>
                <c:pt idx="141">
                  <c:v>11.578647660289029</c:v>
                </c:pt>
                <c:pt idx="142">
                  <c:v>9.8936392164813132</c:v>
                </c:pt>
                <c:pt idx="143">
                  <c:v>9.6883741729171824</c:v>
                </c:pt>
                <c:pt idx="144">
                  <c:v>10.870376337173374</c:v>
                </c:pt>
                <c:pt idx="145">
                  <c:v>9.95546311412647</c:v>
                </c:pt>
                <c:pt idx="146">
                  <c:v>10.611079897527569</c:v>
                </c:pt>
                <c:pt idx="147">
                  <c:v>11.205435165206588</c:v>
                </c:pt>
                <c:pt idx="148">
                  <c:v>10.937045631566651</c:v>
                </c:pt>
                <c:pt idx="149">
                  <c:v>9.659248037927183</c:v>
                </c:pt>
                <c:pt idx="150">
                  <c:v>9.8699307690072846</c:v>
                </c:pt>
                <c:pt idx="151">
                  <c:v>9.8909087703292684</c:v>
                </c:pt>
                <c:pt idx="152">
                  <c:v>9.2904446162178438</c:v>
                </c:pt>
                <c:pt idx="153">
                  <c:v>10.984190420660671</c:v>
                </c:pt>
                <c:pt idx="154">
                  <c:v>9.2998153784037854</c:v>
                </c:pt>
                <c:pt idx="155">
                  <c:v>9.7662923133582833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63-B845-B25D-DA0C75B3BF97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10.501804133081638</c:v>
              </c:pt>
            </c:numLit>
          </c:xVal>
          <c:yVal>
            <c:numLit>
              <c:formatCode>General</c:formatCode>
              <c:ptCount val="1"/>
              <c:pt idx="0">
                <c:v>10.275706066850656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763-B845-B25D-DA0C75B3BF9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XLSTAT_20211101_192102_1_HID!xdata1</c:f>
              <c:numCache>
                <c:formatCode>General</c:formatCode>
                <c:ptCount val="70"/>
                <c:pt idx="0">
                  <c:v>9.0947849066488704</c:v>
                </c:pt>
                <c:pt idx="1">
                  <c:v>9.174172168213568</c:v>
                </c:pt>
                <c:pt idx="2">
                  <c:v>9.2535594297782655</c:v>
                </c:pt>
                <c:pt idx="3">
                  <c:v>9.3329466913429631</c:v>
                </c:pt>
                <c:pt idx="4">
                  <c:v>9.4123339529076624</c:v>
                </c:pt>
                <c:pt idx="5">
                  <c:v>9.4917212144723599</c:v>
                </c:pt>
                <c:pt idx="6">
                  <c:v>9.5711084760370575</c:v>
                </c:pt>
                <c:pt idx="7">
                  <c:v>9.6504957376017551</c:v>
                </c:pt>
                <c:pt idx="8">
                  <c:v>9.7298829991664526</c:v>
                </c:pt>
                <c:pt idx="9">
                  <c:v>9.8092702607311502</c:v>
                </c:pt>
                <c:pt idx="10">
                  <c:v>9.8886575222958477</c:v>
                </c:pt>
                <c:pt idx="11">
                  <c:v>9.968044783860547</c:v>
                </c:pt>
                <c:pt idx="12">
                  <c:v>10.047432045425245</c:v>
                </c:pt>
                <c:pt idx="13">
                  <c:v>10.126819306989942</c:v>
                </c:pt>
                <c:pt idx="14">
                  <c:v>10.20620656855464</c:v>
                </c:pt>
                <c:pt idx="15">
                  <c:v>10.285593830119337</c:v>
                </c:pt>
                <c:pt idx="16">
                  <c:v>10.364981091684035</c:v>
                </c:pt>
                <c:pt idx="17">
                  <c:v>10.444368353248732</c:v>
                </c:pt>
                <c:pt idx="18">
                  <c:v>10.523755614813432</c:v>
                </c:pt>
                <c:pt idx="19">
                  <c:v>10.603142876378129</c:v>
                </c:pt>
                <c:pt idx="20">
                  <c:v>10.682530137942827</c:v>
                </c:pt>
                <c:pt idx="21">
                  <c:v>10.761917399507524</c:v>
                </c:pt>
                <c:pt idx="22">
                  <c:v>10.841304661072222</c:v>
                </c:pt>
                <c:pt idx="23">
                  <c:v>10.920691922636919</c:v>
                </c:pt>
                <c:pt idx="24">
                  <c:v>11.000079184201617</c:v>
                </c:pt>
                <c:pt idx="25">
                  <c:v>11.079466445766315</c:v>
                </c:pt>
                <c:pt idx="26">
                  <c:v>11.158853707331014</c:v>
                </c:pt>
                <c:pt idx="27">
                  <c:v>11.238240968895711</c:v>
                </c:pt>
                <c:pt idx="28">
                  <c:v>11.317628230460409</c:v>
                </c:pt>
                <c:pt idx="29">
                  <c:v>11.397015492025107</c:v>
                </c:pt>
                <c:pt idx="30">
                  <c:v>11.476402753589804</c:v>
                </c:pt>
                <c:pt idx="31">
                  <c:v>11.555790015154502</c:v>
                </c:pt>
                <c:pt idx="32">
                  <c:v>11.635177276719201</c:v>
                </c:pt>
                <c:pt idx="33">
                  <c:v>11.714564538283899</c:v>
                </c:pt>
                <c:pt idx="34">
                  <c:v>11.793951799848596</c:v>
                </c:pt>
                <c:pt idx="35">
                  <c:v>11.873339061413294</c:v>
                </c:pt>
                <c:pt idx="36">
                  <c:v>11.952726322977991</c:v>
                </c:pt>
                <c:pt idx="37">
                  <c:v>12.032113584542689</c:v>
                </c:pt>
                <c:pt idx="38">
                  <c:v>12.111500846107386</c:v>
                </c:pt>
                <c:pt idx="39">
                  <c:v>12.190888107672084</c:v>
                </c:pt>
                <c:pt idx="40">
                  <c:v>12.270275369236781</c:v>
                </c:pt>
                <c:pt idx="41">
                  <c:v>12.349662630801481</c:v>
                </c:pt>
                <c:pt idx="42">
                  <c:v>12.429049892366178</c:v>
                </c:pt>
                <c:pt idx="43">
                  <c:v>12.508437153930876</c:v>
                </c:pt>
                <c:pt idx="44">
                  <c:v>12.587824415495573</c:v>
                </c:pt>
                <c:pt idx="45">
                  <c:v>12.667211677060271</c:v>
                </c:pt>
                <c:pt idx="46">
                  <c:v>12.74659893862497</c:v>
                </c:pt>
                <c:pt idx="47">
                  <c:v>12.825986200189668</c:v>
                </c:pt>
                <c:pt idx="48">
                  <c:v>12.905373461754365</c:v>
                </c:pt>
                <c:pt idx="49">
                  <c:v>12.984760723319063</c:v>
                </c:pt>
                <c:pt idx="50">
                  <c:v>13.064147984883761</c:v>
                </c:pt>
                <c:pt idx="51">
                  <c:v>13.143535246448458</c:v>
                </c:pt>
                <c:pt idx="52">
                  <c:v>13.222922508013156</c:v>
                </c:pt>
                <c:pt idx="53">
                  <c:v>13.302309769577853</c:v>
                </c:pt>
                <c:pt idx="54">
                  <c:v>13.381697031142551</c:v>
                </c:pt>
                <c:pt idx="55">
                  <c:v>13.461084292707248</c:v>
                </c:pt>
                <c:pt idx="56">
                  <c:v>13.540471554271948</c:v>
                </c:pt>
                <c:pt idx="57">
                  <c:v>13.619858815836645</c:v>
                </c:pt>
                <c:pt idx="58">
                  <c:v>13.699246077401343</c:v>
                </c:pt>
                <c:pt idx="59">
                  <c:v>13.778633338966042</c:v>
                </c:pt>
                <c:pt idx="60">
                  <c:v>13.85802060053074</c:v>
                </c:pt>
                <c:pt idx="61">
                  <c:v>13.937407862095437</c:v>
                </c:pt>
                <c:pt idx="62">
                  <c:v>14.016795123660135</c:v>
                </c:pt>
                <c:pt idx="63">
                  <c:v>14.096182385224832</c:v>
                </c:pt>
                <c:pt idx="64">
                  <c:v>14.17556964678953</c:v>
                </c:pt>
                <c:pt idx="65">
                  <c:v>14.254956908354227</c:v>
                </c:pt>
                <c:pt idx="66">
                  <c:v>14.334344169918925</c:v>
                </c:pt>
                <c:pt idx="67">
                  <c:v>14.413731431483622</c:v>
                </c:pt>
                <c:pt idx="68">
                  <c:v>14.49311869304832</c:v>
                </c:pt>
                <c:pt idx="69">
                  <c:v>14.572505954613018</c:v>
                </c:pt>
              </c:numCache>
            </c:numRef>
          </c:xVal>
          <c:yVal>
            <c:numRef>
              <c:f>XLSTAT_20211101_192102_1_HID!ydata1</c:f>
              <c:numCache>
                <c:formatCode>General</c:formatCode>
                <c:ptCount val="70"/>
                <c:pt idx="0">
                  <c:v>8.6805471456408778</c:v>
                </c:pt>
                <c:pt idx="1">
                  <c:v>8.76061971054928</c:v>
                </c:pt>
                <c:pt idx="2">
                  <c:v>8.8406453402764438</c:v>
                </c:pt>
                <c:pt idx="3">
                  <c:v>8.9206238168237899</c:v>
                </c:pt>
                <c:pt idx="4">
                  <c:v>9.0005549370896194</c:v>
                </c:pt>
                <c:pt idx="5">
                  <c:v>9.0804385132094865</c:v>
                </c:pt>
                <c:pt idx="6">
                  <c:v>9.1602743728740119</c:v>
                </c:pt>
                <c:pt idx="7">
                  <c:v>9.2400623596228559</c:v>
                </c:pt>
                <c:pt idx="8">
                  <c:v>9.3198023331137296</c:v>
                </c:pt>
                <c:pt idx="9">
                  <c:v>9.3994941693653811</c:v>
                </c:pt>
                <c:pt idx="10">
                  <c:v>9.4791377609735683</c:v>
                </c:pt>
                <c:pt idx="11">
                  <c:v>9.5587330172991702</c:v>
                </c:pt>
                <c:pt idx="12">
                  <c:v>9.6382798646276573</c:v>
                </c:pt>
                <c:pt idx="13">
                  <c:v>9.7177782462992877</c:v>
                </c:pt>
                <c:pt idx="14">
                  <c:v>9.7972281228094644</c:v>
                </c:pt>
                <c:pt idx="15">
                  <c:v>9.8766294718788803</c:v>
                </c:pt>
                <c:pt idx="16">
                  <c:v>9.9559822884931126</c:v>
                </c:pt>
                <c:pt idx="17">
                  <c:v>10.035286584911553</c:v>
                </c:pt>
                <c:pt idx="18">
                  <c:v>10.114542390645605</c:v>
                </c:pt>
                <c:pt idx="19">
                  <c:v>10.19374975240623</c:v>
                </c:pt>
                <c:pt idx="20">
                  <c:v>10.272908734021106</c:v>
                </c:pt>
                <c:pt idx="21">
                  <c:v>10.352019416321683</c:v>
                </c:pt>
                <c:pt idx="22">
                  <c:v>10.431081897000643</c:v>
                </c:pt>
                <c:pt idx="23">
                  <c:v>10.510096290440325</c:v>
                </c:pt>
                <c:pt idx="24">
                  <c:v>10.589062727512832</c:v>
                </c:pt>
                <c:pt idx="25">
                  <c:v>10.667981355352611</c:v>
                </c:pt>
                <c:pt idx="26">
                  <c:v>10.746852337102428</c:v>
                </c:pt>
                <c:pt idx="27">
                  <c:v>10.825675851633747</c:v>
                </c:pt>
                <c:pt idx="28">
                  <c:v>10.90445209324262</c:v>
                </c:pt>
                <c:pt idx="29">
                  <c:v>10.983181271322255</c:v>
                </c:pt>
                <c:pt idx="30">
                  <c:v>11.061863610013535</c:v>
                </c:pt>
                <c:pt idx="31">
                  <c:v>11.140499347834798</c:v>
                </c:pt>
                <c:pt idx="32">
                  <c:v>11.219088737292276</c:v>
                </c:pt>
                <c:pt idx="33">
                  <c:v>11.297632044472602</c:v>
                </c:pt>
                <c:pt idx="34">
                  <c:v>11.376129548618879</c:v>
                </c:pt>
                <c:pt idx="35">
                  <c:v>11.454581541691773</c:v>
                </c:pt>
                <c:pt idx="36">
                  <c:v>11.532988327917193</c:v>
                </c:pt>
                <c:pt idx="37">
                  <c:v>11.611350223322056</c:v>
                </c:pt>
                <c:pt idx="38">
                  <c:v>11.689667555259685</c:v>
                </c:pt>
                <c:pt idx="39">
                  <c:v>11.767940661926394</c:v>
                </c:pt>
                <c:pt idx="40">
                  <c:v>11.846169891870721</c:v>
                </c:pt>
                <c:pt idx="41">
                  <c:v>11.924355603496885</c:v>
                </c:pt>
                <c:pt idx="42">
                  <c:v>12.002498164563864</c:v>
                </c:pt>
                <c:pt idx="43">
                  <c:v>12.080597951681602</c:v>
                </c:pt>
                <c:pt idx="44">
                  <c:v>12.158655349805679</c:v>
                </c:pt>
                <c:pt idx="45">
                  <c:v>12.236670751731832</c:v>
                </c:pt>
                <c:pt idx="46">
                  <c:v>12.31464455759164</c:v>
                </c:pt>
                <c:pt idx="47">
                  <c:v>12.392577174350572</c:v>
                </c:pt>
                <c:pt idx="48">
                  <c:v>12.470469015309645</c:v>
                </c:pt>
                <c:pt idx="49">
                  <c:v>12.548320499611771</c:v>
                </c:pt>
                <c:pt idx="50">
                  <c:v>12.626132051753878</c:v>
                </c:pt>
                <c:pt idx="51">
                  <c:v>12.703904101105795</c:v>
                </c:pt>
                <c:pt idx="52">
                  <c:v>12.781637081436831</c:v>
                </c:pt>
                <c:pt idx="53">
                  <c:v>12.85933143045089</c:v>
                </c:pt>
                <c:pt idx="54">
                  <c:v>12.936987589330926</c:v>
                </c:pt>
                <c:pt idx="55">
                  <c:v>13.014606002293462</c:v>
                </c:pt>
                <c:pt idx="56">
                  <c:v>13.092187116153784</c:v>
                </c:pt>
                <c:pt idx="57">
                  <c:v>13.169731379902439</c:v>
                </c:pt>
                <c:pt idx="58">
                  <c:v>13.247239244293503</c:v>
                </c:pt>
                <c:pt idx="59">
                  <c:v>13.324711161445112</c:v>
                </c:pt>
                <c:pt idx="60">
                  <c:v>13.402147584452585</c:v>
                </c:pt>
                <c:pt idx="61">
                  <c:v>13.479548967014505</c:v>
                </c:pt>
                <c:pt idx="62">
                  <c:v>13.556915763071991</c:v>
                </c:pt>
                <c:pt idx="63">
                  <c:v>13.634248426461381</c:v>
                </c:pt>
                <c:pt idx="64">
                  <c:v>13.711547410580447</c:v>
                </c:pt>
                <c:pt idx="65">
                  <c:v>13.788813168068284</c:v>
                </c:pt>
                <c:pt idx="66">
                  <c:v>13.866046150498867</c:v>
                </c:pt>
                <c:pt idx="67">
                  <c:v>13.943246808088325</c:v>
                </c:pt>
                <c:pt idx="68">
                  <c:v>14.020415589415849</c:v>
                </c:pt>
                <c:pt idx="69">
                  <c:v>14.097552941158199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63-B845-B25D-DA0C75B3BF9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XLSTAT_20211101_192102_1_HID!xdata2</c:f>
              <c:numCache>
                <c:formatCode>General</c:formatCode>
                <c:ptCount val="70"/>
                <c:pt idx="0">
                  <c:v>7.3696423885661302</c:v>
                </c:pt>
                <c:pt idx="1">
                  <c:v>7.4740317156102885</c:v>
                </c:pt>
                <c:pt idx="2">
                  <c:v>7.5784210426544458</c:v>
                </c:pt>
                <c:pt idx="3">
                  <c:v>7.6828103696986041</c:v>
                </c:pt>
                <c:pt idx="4">
                  <c:v>7.7871996967427624</c:v>
                </c:pt>
                <c:pt idx="5">
                  <c:v>7.8915890237869206</c:v>
                </c:pt>
                <c:pt idx="6">
                  <c:v>7.995978350831078</c:v>
                </c:pt>
                <c:pt idx="7">
                  <c:v>8.1003676778752354</c:v>
                </c:pt>
                <c:pt idx="8">
                  <c:v>8.2047570049193936</c:v>
                </c:pt>
                <c:pt idx="9">
                  <c:v>8.3091463319635519</c:v>
                </c:pt>
                <c:pt idx="10">
                  <c:v>8.4135356590077102</c:v>
                </c:pt>
                <c:pt idx="11">
                  <c:v>8.5179249860518684</c:v>
                </c:pt>
                <c:pt idx="12">
                  <c:v>8.6223143130960267</c:v>
                </c:pt>
                <c:pt idx="13">
                  <c:v>8.726703640140185</c:v>
                </c:pt>
                <c:pt idx="14">
                  <c:v>8.8310929671843414</c:v>
                </c:pt>
                <c:pt idx="15">
                  <c:v>8.9354822942284997</c:v>
                </c:pt>
                <c:pt idx="16">
                  <c:v>9.039871621272658</c:v>
                </c:pt>
                <c:pt idx="17">
                  <c:v>9.1442609483168162</c:v>
                </c:pt>
                <c:pt idx="18">
                  <c:v>9.2486502753609745</c:v>
                </c:pt>
                <c:pt idx="19">
                  <c:v>9.3530396024051328</c:v>
                </c:pt>
                <c:pt idx="20">
                  <c:v>9.4574289294492893</c:v>
                </c:pt>
                <c:pt idx="21">
                  <c:v>9.5618182564934493</c:v>
                </c:pt>
                <c:pt idx="22">
                  <c:v>9.6662075835376058</c:v>
                </c:pt>
                <c:pt idx="23">
                  <c:v>9.770596910581764</c:v>
                </c:pt>
                <c:pt idx="24">
                  <c:v>9.8749862376259223</c:v>
                </c:pt>
                <c:pt idx="25">
                  <c:v>9.9793755646700806</c:v>
                </c:pt>
                <c:pt idx="26">
                  <c:v>10.083764891714239</c:v>
                </c:pt>
                <c:pt idx="27">
                  <c:v>10.188154218758395</c:v>
                </c:pt>
                <c:pt idx="28">
                  <c:v>10.292543545802554</c:v>
                </c:pt>
                <c:pt idx="29">
                  <c:v>10.396932872846712</c:v>
                </c:pt>
                <c:pt idx="30">
                  <c:v>10.50132219989087</c:v>
                </c:pt>
                <c:pt idx="31">
                  <c:v>10.605711526935028</c:v>
                </c:pt>
                <c:pt idx="32">
                  <c:v>10.710100853979187</c:v>
                </c:pt>
                <c:pt idx="33">
                  <c:v>10.814490181023345</c:v>
                </c:pt>
                <c:pt idx="34">
                  <c:v>10.918879508067501</c:v>
                </c:pt>
                <c:pt idx="35">
                  <c:v>11.02326883511166</c:v>
                </c:pt>
                <c:pt idx="36">
                  <c:v>11.127658162155818</c:v>
                </c:pt>
                <c:pt idx="37">
                  <c:v>11.232047489199976</c:v>
                </c:pt>
                <c:pt idx="38">
                  <c:v>11.336436816244134</c:v>
                </c:pt>
                <c:pt idx="39">
                  <c:v>11.440826143288291</c:v>
                </c:pt>
                <c:pt idx="40">
                  <c:v>11.545215470332451</c:v>
                </c:pt>
                <c:pt idx="41">
                  <c:v>11.649604797376607</c:v>
                </c:pt>
                <c:pt idx="42">
                  <c:v>11.753994124420768</c:v>
                </c:pt>
                <c:pt idx="43">
                  <c:v>11.858383451464924</c:v>
                </c:pt>
                <c:pt idx="44">
                  <c:v>11.962772778509082</c:v>
                </c:pt>
                <c:pt idx="45">
                  <c:v>12.067162105553241</c:v>
                </c:pt>
                <c:pt idx="46">
                  <c:v>12.171551432597397</c:v>
                </c:pt>
                <c:pt idx="47">
                  <c:v>12.275940759641557</c:v>
                </c:pt>
                <c:pt idx="48">
                  <c:v>12.380330086685714</c:v>
                </c:pt>
                <c:pt idx="49">
                  <c:v>12.484719413729872</c:v>
                </c:pt>
                <c:pt idx="50">
                  <c:v>12.58910874077403</c:v>
                </c:pt>
                <c:pt idx="51">
                  <c:v>12.693498067818188</c:v>
                </c:pt>
                <c:pt idx="52">
                  <c:v>12.797887394862347</c:v>
                </c:pt>
                <c:pt idx="53">
                  <c:v>12.902276721906503</c:v>
                </c:pt>
                <c:pt idx="54">
                  <c:v>13.006666048950663</c:v>
                </c:pt>
                <c:pt idx="55">
                  <c:v>13.11105537599482</c:v>
                </c:pt>
                <c:pt idx="56">
                  <c:v>13.215444703038978</c:v>
                </c:pt>
                <c:pt idx="57">
                  <c:v>13.319834030083136</c:v>
                </c:pt>
                <c:pt idx="58">
                  <c:v>13.424223357127294</c:v>
                </c:pt>
                <c:pt idx="59">
                  <c:v>13.528612684171453</c:v>
                </c:pt>
                <c:pt idx="60">
                  <c:v>13.633002011215609</c:v>
                </c:pt>
                <c:pt idx="61">
                  <c:v>13.737391338259769</c:v>
                </c:pt>
                <c:pt idx="62">
                  <c:v>13.841780665303926</c:v>
                </c:pt>
                <c:pt idx="63">
                  <c:v>13.946169992348084</c:v>
                </c:pt>
                <c:pt idx="64">
                  <c:v>14.050559319392242</c:v>
                </c:pt>
                <c:pt idx="65">
                  <c:v>14.1549486464364</c:v>
                </c:pt>
                <c:pt idx="66">
                  <c:v>14.259337973480559</c:v>
                </c:pt>
                <c:pt idx="67">
                  <c:v>14.363727300524715</c:v>
                </c:pt>
                <c:pt idx="68">
                  <c:v>14.468116627568875</c:v>
                </c:pt>
                <c:pt idx="69">
                  <c:v>14.572505954613032</c:v>
                </c:pt>
              </c:numCache>
            </c:numRef>
          </c:xVal>
          <c:yVal>
            <c:numRef>
              <c:f>XLSTAT_20211101_192102_1_HID!ydata2</c:f>
              <c:numCache>
                <c:formatCode>General</c:formatCode>
                <c:ptCount val="70"/>
                <c:pt idx="0">
                  <c:v>7.8097842639585373</c:v>
                </c:pt>
                <c:pt idx="1">
                  <c:v>7.9120417668744993</c:v>
                </c:pt>
                <c:pt idx="2">
                  <c:v>8.0143675748509491</c:v>
                </c:pt>
                <c:pt idx="3">
                  <c:v>8.1167626622965159</c:v>
                </c:pt>
                <c:pt idx="4">
                  <c:v>8.2192279885929143</c:v>
                </c:pt>
                <c:pt idx="5">
                  <c:v>8.3217644961910118</c:v>
                </c:pt>
                <c:pt idx="6">
                  <c:v>8.4243731086752351</c:v>
                </c:pt>
                <c:pt idx="7">
                  <c:v>8.5270547288033995</c:v>
                </c:pt>
                <c:pt idx="8">
                  <c:v>8.6298102365296732</c:v>
                </c:pt>
                <c:pt idx="9">
                  <c:v>8.7326404870189158</c:v>
                </c:pt>
                <c:pt idx="10">
                  <c:v>8.8355463086611525</c:v>
                </c:pt>
                <c:pt idx="11">
                  <c:v>8.9385285010953499</c:v>
                </c:pt>
                <c:pt idx="12">
                  <c:v>9.041587833252132</c:v>
                </c:pt>
                <c:pt idx="13">
                  <c:v>9.1447250414253336</c:v>
                </c:pt>
                <c:pt idx="14">
                  <c:v>9.2479408273825854</c:v>
                </c:pt>
                <c:pt idx="15">
                  <c:v>9.3512358565252747</c:v>
                </c:pt>
                <c:pt idx="16">
                  <c:v>9.4546107561082913</c:v>
                </c:pt>
                <c:pt idx="17">
                  <c:v>9.558066113529998</c:v>
                </c:pt>
                <c:pt idx="18">
                  <c:v>9.6616024747026863</c:v>
                </c:pt>
                <c:pt idx="19">
                  <c:v>9.7652203425135866</c:v>
                </c:pt>
                <c:pt idx="20">
                  <c:v>9.8689201753861813</c:v>
                </c:pt>
                <c:pt idx="21">
                  <c:v>9.9727023859511199</c:v>
                </c:pt>
                <c:pt idx="22">
                  <c:v>10.076567339835451</c:v>
                </c:pt>
                <c:pt idx="23">
                  <c:v>10.18051535457839</c:v>
                </c:pt>
                <c:pt idx="24">
                  <c:v>10.284546698680879</c:v>
                </c:pt>
                <c:pt idx="25">
                  <c:v>10.388661590795616</c:v>
                </c:pt>
                <c:pt idx="26">
                  <c:v>10.492860199063106</c:v>
                </c:pt>
                <c:pt idx="27">
                  <c:v>10.597142640598481</c:v>
                </c:pt>
                <c:pt idx="28">
                  <c:v>10.701508981132694</c:v>
                </c:pt>
                <c:pt idx="29">
                  <c:v>10.80595923481064</c:v>
                </c:pt>
                <c:pt idx="30">
                  <c:v>10.910493364147676</c:v>
                </c:pt>
                <c:pt idx="31">
                  <c:v>11.015111280144824</c:v>
                </c:pt>
                <c:pt idx="32">
                  <c:v>11.119812842561849</c:v>
                </c:pt>
                <c:pt idx="33">
                  <c:v>11.224597860346261</c:v>
                </c:pt>
                <c:pt idx="34">
                  <c:v>11.32946609221516</c:v>
                </c:pt>
                <c:pt idx="35">
                  <c:v>11.434417247385873</c:v>
                </c:pt>
                <c:pt idx="36">
                  <c:v>11.539450986450168</c:v>
                </c:pt>
                <c:pt idx="37">
                  <c:v>11.644566922386071</c:v>
                </c:pt>
                <c:pt idx="38">
                  <c:v>11.749764621700269</c:v>
                </c:pt>
                <c:pt idx="39">
                  <c:v>11.855043605693414</c:v>
                </c:pt>
                <c:pt idx="40">
                  <c:v>11.960403351839899</c:v>
                </c:pt>
                <c:pt idx="41">
                  <c:v>12.065843295273059</c:v>
                </c:pt>
                <c:pt idx="42">
                  <c:v>12.171362830366354</c:v>
                </c:pt>
                <c:pt idx="43">
                  <c:v>12.276961312400546</c:v>
                </c:pt>
                <c:pt idx="44">
                  <c:v>12.382638059306787</c:v>
                </c:pt>
                <c:pt idx="45">
                  <c:v>12.488392353475181</c:v>
                </c:pt>
                <c:pt idx="46">
                  <c:v>12.594223443618437</c:v>
                </c:pt>
                <c:pt idx="47">
                  <c:v>12.700130546680224</c:v>
                </c:pt>
                <c:pt idx="48">
                  <c:v>12.806112849777875</c:v>
                </c:pt>
                <c:pt idx="49">
                  <c:v>12.912169512169481</c:v>
                </c:pt>
                <c:pt idx="50">
                  <c:v>13.018299667235453</c:v>
                </c:pt>
                <c:pt idx="51">
                  <c:v>13.124502424465248</c:v>
                </c:pt>
                <c:pt idx="52">
                  <c:v>13.230776871440174</c:v>
                </c:pt>
                <c:pt idx="53">
                  <c:v>13.337122075803785</c:v>
                </c:pt>
                <c:pt idx="54">
                  <c:v>13.443537087211872</c:v>
                </c:pt>
                <c:pt idx="55">
                  <c:v>13.550020939254571</c:v>
                </c:pt>
                <c:pt idx="56">
                  <c:v>13.656572651343801</c:v>
                </c:pt>
                <c:pt idx="57">
                  <c:v>13.763191230559729</c:v>
                </c:pt>
                <c:pt idx="58">
                  <c:v>13.869875673450691</c:v>
                </c:pt>
                <c:pt idx="59">
                  <c:v>13.976624967781538</c:v>
                </c:pt>
                <c:pt idx="60">
                  <c:v>14.083438094226047</c:v>
                </c:pt>
                <c:pt idx="61">
                  <c:v>14.190314027999637</c:v>
                </c:pt>
                <c:pt idx="62">
                  <c:v>14.297251740429182</c:v>
                </c:pt>
                <c:pt idx="63">
                  <c:v>14.404250200457389</c:v>
                </c:pt>
                <c:pt idx="64">
                  <c:v>14.511308376079631</c:v>
                </c:pt>
                <c:pt idx="65">
                  <c:v>14.618425235711761</c:v>
                </c:pt>
                <c:pt idx="66">
                  <c:v>14.725599749487849</c:v>
                </c:pt>
                <c:pt idx="67">
                  <c:v>14.832830890487285</c:v>
                </c:pt>
                <c:pt idx="68">
                  <c:v>14.940117635891124</c:v>
                </c:pt>
                <c:pt idx="69">
                  <c:v>15.047458968067851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63-B845-B25D-DA0C75B3BF97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</c:v>
              </c:pt>
              <c:pt idx="1">
                <c:v>16</c:v>
              </c:pt>
            </c:numLit>
          </c:xVal>
          <c:yVal>
            <c:numLit>
              <c:formatCode>General</c:formatCode>
              <c:ptCount val="2"/>
              <c:pt idx="0">
                <c:v>7</c:v>
              </c:pt>
              <c:pt idx="1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4763-B845-B25D-DA0C75B3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674735"/>
        <c:axId val="1747504831"/>
      </c:scatterChart>
      <c:valAx>
        <c:axId val="1844674735"/>
        <c:scaling>
          <c:orientation val="minMax"/>
          <c:max val="16"/>
          <c:min val="7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Pred(Ln(UVolJO))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47504831"/>
        <c:crosses val="autoZero"/>
        <c:crossBetween val="midCat"/>
      </c:valAx>
      <c:valAx>
        <c:axId val="1747504831"/>
        <c:scaling>
          <c:orientation val="minMax"/>
          <c:max val="16"/>
          <c:min val="7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Ln(UVolJO)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46747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Ln(UVolJO)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'Regr-SalesJO'!$B$115:$B$270</c:f>
              <c:strCache>
                <c:ptCount val="156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</c:strCache>
            </c:strRef>
          </c:cat>
          <c:val>
            <c:numRef>
              <c:f>'Regr-SalesJO'!$G$115:$G$270</c:f>
              <c:numCache>
                <c:formatCode>0.000</c:formatCode>
                <c:ptCount val="156"/>
                <c:pt idx="0">
                  <c:v>0.11767063676970589</c:v>
                </c:pt>
                <c:pt idx="1">
                  <c:v>-1.095947839166509</c:v>
                </c:pt>
                <c:pt idx="2">
                  <c:v>-0.86945348265577493</c:v>
                </c:pt>
                <c:pt idx="3">
                  <c:v>-0.31526397054724603</c:v>
                </c:pt>
                <c:pt idx="4">
                  <c:v>-1.2874696512720456</c:v>
                </c:pt>
                <c:pt idx="5">
                  <c:v>-0.68231475410821874</c:v>
                </c:pt>
                <c:pt idx="6">
                  <c:v>0.26571050630810478</c:v>
                </c:pt>
                <c:pt idx="7">
                  <c:v>1.2652495113121409</c:v>
                </c:pt>
                <c:pt idx="8">
                  <c:v>-0.28940453144953854</c:v>
                </c:pt>
                <c:pt idx="9">
                  <c:v>-1.3286835349246933</c:v>
                </c:pt>
                <c:pt idx="10">
                  <c:v>-1.1213289816052092</c:v>
                </c:pt>
                <c:pt idx="11">
                  <c:v>-0.58645623248347656</c:v>
                </c:pt>
                <c:pt idx="12">
                  <c:v>-0.82935725284387463</c:v>
                </c:pt>
                <c:pt idx="13">
                  <c:v>0.15147048410696703</c:v>
                </c:pt>
                <c:pt idx="14">
                  <c:v>-1.3497113960228835</c:v>
                </c:pt>
                <c:pt idx="15">
                  <c:v>-1.0469938876082197</c:v>
                </c:pt>
                <c:pt idx="16">
                  <c:v>-1.6318833961033015</c:v>
                </c:pt>
                <c:pt idx="17">
                  <c:v>-0.87398920601015628</c:v>
                </c:pt>
                <c:pt idx="18">
                  <c:v>-1.4361648137745946</c:v>
                </c:pt>
                <c:pt idx="19">
                  <c:v>-0.99612775761484074</c:v>
                </c:pt>
                <c:pt idx="20">
                  <c:v>-0.14411660536554466</c:v>
                </c:pt>
                <c:pt idx="21">
                  <c:v>-0.27842090190907054</c:v>
                </c:pt>
                <c:pt idx="22">
                  <c:v>-1.037044185325052</c:v>
                </c:pt>
                <c:pt idx="23">
                  <c:v>-0.58104719884613332</c:v>
                </c:pt>
                <c:pt idx="24">
                  <c:v>-1.3101012668510117</c:v>
                </c:pt>
                <c:pt idx="25">
                  <c:v>-1.3734075914149459</c:v>
                </c:pt>
                <c:pt idx="26">
                  <c:v>-0.98685398073866915</c:v>
                </c:pt>
                <c:pt idx="27">
                  <c:v>-0.24368767865723473</c:v>
                </c:pt>
                <c:pt idx="28">
                  <c:v>0.41344398903171564</c:v>
                </c:pt>
                <c:pt idx="29">
                  <c:v>0.84847322364565936</c:v>
                </c:pt>
                <c:pt idx="30">
                  <c:v>-0.96881392804794531</c:v>
                </c:pt>
                <c:pt idx="31">
                  <c:v>-1.171180416091199E-2</c:v>
                </c:pt>
                <c:pt idx="32">
                  <c:v>1.0356176936992247</c:v>
                </c:pt>
                <c:pt idx="33">
                  <c:v>0.68928982291973184</c:v>
                </c:pt>
                <c:pt idx="34">
                  <c:v>0.33823564676139983</c:v>
                </c:pt>
                <c:pt idx="35">
                  <c:v>0.5440742129307099</c:v>
                </c:pt>
                <c:pt idx="36">
                  <c:v>0.35238324559485495</c:v>
                </c:pt>
                <c:pt idx="37">
                  <c:v>-0.22345648890376679</c:v>
                </c:pt>
                <c:pt idx="38">
                  <c:v>1.3661179367573162</c:v>
                </c:pt>
                <c:pt idx="39">
                  <c:v>-0.24240852464365006</c:v>
                </c:pt>
                <c:pt idx="40">
                  <c:v>0.6813783421874442</c:v>
                </c:pt>
                <c:pt idx="41">
                  <c:v>1.3482973659328301</c:v>
                </c:pt>
                <c:pt idx="42">
                  <c:v>-0.83906863835059653</c:v>
                </c:pt>
                <c:pt idx="43">
                  <c:v>-0.34067507808036596</c:v>
                </c:pt>
                <c:pt idx="44">
                  <c:v>-0.17564042210742015</c:v>
                </c:pt>
                <c:pt idx="45">
                  <c:v>1.1442645150909123</c:v>
                </c:pt>
                <c:pt idx="46">
                  <c:v>0.27469722115191347</c:v>
                </c:pt>
                <c:pt idx="47">
                  <c:v>-0.613083412915856</c:v>
                </c:pt>
                <c:pt idx="48">
                  <c:v>-0.34636772213651401</c:v>
                </c:pt>
                <c:pt idx="49">
                  <c:v>-0.92008579979812266</c:v>
                </c:pt>
                <c:pt idx="50">
                  <c:v>-0.87701329275561268</c:v>
                </c:pt>
                <c:pt idx="51">
                  <c:v>1.0544265386797538</c:v>
                </c:pt>
                <c:pt idx="52">
                  <c:v>0.64684391367871641</c:v>
                </c:pt>
                <c:pt idx="53">
                  <c:v>0.68171365345732715</c:v>
                </c:pt>
                <c:pt idx="54">
                  <c:v>0.53618148957873402</c:v>
                </c:pt>
                <c:pt idx="55">
                  <c:v>0.94251231335561703</c:v>
                </c:pt>
                <c:pt idx="56">
                  <c:v>-0.55025082647612877</c:v>
                </c:pt>
                <c:pt idx="57">
                  <c:v>-0.59781219267294805</c:v>
                </c:pt>
                <c:pt idx="58">
                  <c:v>0.58197043762361722</c:v>
                </c:pt>
                <c:pt idx="59">
                  <c:v>-1.3220948271394803</c:v>
                </c:pt>
                <c:pt idx="60">
                  <c:v>0.48640878006540628</c:v>
                </c:pt>
                <c:pt idx="61">
                  <c:v>-1.352964960278971E-2</c:v>
                </c:pt>
                <c:pt idx="62">
                  <c:v>-0.85392674610751773</c:v>
                </c:pt>
                <c:pt idx="63">
                  <c:v>0.17593198780351915</c:v>
                </c:pt>
                <c:pt idx="64">
                  <c:v>-9.2931289710751291E-2</c:v>
                </c:pt>
                <c:pt idx="65">
                  <c:v>-0.11262697516484804</c:v>
                </c:pt>
                <c:pt idx="66">
                  <c:v>-2.0332919814250587</c:v>
                </c:pt>
                <c:pt idx="67">
                  <c:v>-1.1708093899064191</c:v>
                </c:pt>
                <c:pt idx="68">
                  <c:v>0.3545366897185302</c:v>
                </c:pt>
                <c:pt idx="69">
                  <c:v>-0.26340990801496095</c:v>
                </c:pt>
                <c:pt idx="70">
                  <c:v>0.15204705736071725</c:v>
                </c:pt>
                <c:pt idx="71">
                  <c:v>-0.69340353300030022</c:v>
                </c:pt>
                <c:pt idx="72">
                  <c:v>1.84955443646512</c:v>
                </c:pt>
                <c:pt idx="73">
                  <c:v>-0.11097010415396218</c:v>
                </c:pt>
                <c:pt idx="74">
                  <c:v>-0.17282943085665523</c:v>
                </c:pt>
                <c:pt idx="75">
                  <c:v>0.35923611605895878</c:v>
                </c:pt>
                <c:pt idx="76">
                  <c:v>-1.4539716926235222</c:v>
                </c:pt>
                <c:pt idx="77">
                  <c:v>-0.26072994033856994</c:v>
                </c:pt>
                <c:pt idx="78">
                  <c:v>0.29603527059359996</c:v>
                </c:pt>
                <c:pt idx="79">
                  <c:v>1.3296113094510562</c:v>
                </c:pt>
                <c:pt idx="80">
                  <c:v>-0.82615537605845257</c:v>
                </c:pt>
                <c:pt idx="81">
                  <c:v>0.36432513107628972</c:v>
                </c:pt>
                <c:pt idx="82">
                  <c:v>-0.91070723460382796</c:v>
                </c:pt>
                <c:pt idx="83">
                  <c:v>-1.7580579336725932</c:v>
                </c:pt>
                <c:pt idx="84">
                  <c:v>0.88258809309228492</c:v>
                </c:pt>
                <c:pt idx="85">
                  <c:v>-0.75294459880420261</c:v>
                </c:pt>
                <c:pt idx="86">
                  <c:v>-0.24631053384245286</c:v>
                </c:pt>
                <c:pt idx="87">
                  <c:v>0.5305294588726871</c:v>
                </c:pt>
                <c:pt idx="88">
                  <c:v>-1.1691122434485337</c:v>
                </c:pt>
                <c:pt idx="89">
                  <c:v>0.30331073344156767</c:v>
                </c:pt>
                <c:pt idx="90">
                  <c:v>-0.14127599431402488</c:v>
                </c:pt>
                <c:pt idx="91">
                  <c:v>0.21717860998400287</c:v>
                </c:pt>
                <c:pt idx="92">
                  <c:v>0.98174949373063569</c:v>
                </c:pt>
                <c:pt idx="93">
                  <c:v>-0.28365369308412708</c:v>
                </c:pt>
                <c:pt idx="94">
                  <c:v>-0.60839935322292471</c:v>
                </c:pt>
                <c:pt idx="95">
                  <c:v>1.9594754274132862</c:v>
                </c:pt>
                <c:pt idx="96">
                  <c:v>1.8464425263006767</c:v>
                </c:pt>
                <c:pt idx="97">
                  <c:v>-0.83462355644863118</c:v>
                </c:pt>
                <c:pt idx="98">
                  <c:v>-0.53570817210890487</c:v>
                </c:pt>
                <c:pt idx="99">
                  <c:v>-1.9559791378769103E-2</c:v>
                </c:pt>
                <c:pt idx="100">
                  <c:v>-0.16371423313944022</c:v>
                </c:pt>
                <c:pt idx="101">
                  <c:v>-1.2924497581599157</c:v>
                </c:pt>
                <c:pt idx="102">
                  <c:v>-1.1019942031540653</c:v>
                </c:pt>
                <c:pt idx="103">
                  <c:v>0.26159940944948162</c:v>
                </c:pt>
                <c:pt idx="104">
                  <c:v>0.83481491182630674</c:v>
                </c:pt>
                <c:pt idx="105">
                  <c:v>5.180456838356999E-2</c:v>
                </c:pt>
                <c:pt idx="106">
                  <c:v>0.54895908153049444</c:v>
                </c:pt>
                <c:pt idx="107">
                  <c:v>1.0415535311395683</c:v>
                </c:pt>
                <c:pt idx="108">
                  <c:v>0.36173120897432826</c:v>
                </c:pt>
                <c:pt idx="109">
                  <c:v>1.5314652405529749</c:v>
                </c:pt>
                <c:pt idx="110">
                  <c:v>-0.26593830522943607</c:v>
                </c:pt>
                <c:pt idx="111">
                  <c:v>0.6356645541728575</c:v>
                </c:pt>
                <c:pt idx="112">
                  <c:v>1.383436530398173</c:v>
                </c:pt>
                <c:pt idx="113">
                  <c:v>-0.11624250598286764</c:v>
                </c:pt>
                <c:pt idx="114">
                  <c:v>-0.31643915117660731</c:v>
                </c:pt>
                <c:pt idx="115">
                  <c:v>2.5313875631745626</c:v>
                </c:pt>
                <c:pt idx="116">
                  <c:v>-0.30936652037149703</c:v>
                </c:pt>
                <c:pt idx="117">
                  <c:v>-0.3647592000701772</c:v>
                </c:pt>
                <c:pt idx="118">
                  <c:v>1.40914692128476</c:v>
                </c:pt>
                <c:pt idx="119">
                  <c:v>-0.14125951791748423</c:v>
                </c:pt>
                <c:pt idx="120">
                  <c:v>0.10025130993230376</c:v>
                </c:pt>
                <c:pt idx="121">
                  <c:v>-8.3310008877265945E-2</c:v>
                </c:pt>
                <c:pt idx="122">
                  <c:v>-0.2795579567436115</c:v>
                </c:pt>
                <c:pt idx="123">
                  <c:v>0.59517198719971298</c:v>
                </c:pt>
                <c:pt idx="124">
                  <c:v>0.75483752227477363</c:v>
                </c:pt>
                <c:pt idx="125">
                  <c:v>0.59428663978718976</c:v>
                </c:pt>
                <c:pt idx="126">
                  <c:v>9.5423300162257793E-2</c:v>
                </c:pt>
                <c:pt idx="127">
                  <c:v>-0.89742776941936808</c:v>
                </c:pt>
                <c:pt idx="128">
                  <c:v>-0.85027782998972223</c:v>
                </c:pt>
                <c:pt idx="129">
                  <c:v>0.84296129511543505</c:v>
                </c:pt>
                <c:pt idx="130">
                  <c:v>0.46188163444535346</c:v>
                </c:pt>
                <c:pt idx="131">
                  <c:v>-6.6907324821410361E-2</c:v>
                </c:pt>
                <c:pt idx="132">
                  <c:v>-0.90275897813039463</c:v>
                </c:pt>
                <c:pt idx="133">
                  <c:v>0.57939966976536927</c:v>
                </c:pt>
                <c:pt idx="134">
                  <c:v>0.92377891219673847</c:v>
                </c:pt>
                <c:pt idx="135">
                  <c:v>-1.0388582816714151</c:v>
                </c:pt>
                <c:pt idx="136">
                  <c:v>-0.57676145688026148</c:v>
                </c:pt>
                <c:pt idx="137">
                  <c:v>0.75614401320991775</c:v>
                </c:pt>
                <c:pt idx="138">
                  <c:v>0.84203312412671083</c:v>
                </c:pt>
                <c:pt idx="139">
                  <c:v>-0.36090047199396308</c:v>
                </c:pt>
                <c:pt idx="140">
                  <c:v>0.71825933444988588</c:v>
                </c:pt>
                <c:pt idx="141">
                  <c:v>-0.10553746767226525</c:v>
                </c:pt>
                <c:pt idx="142">
                  <c:v>-1.4906429545993358</c:v>
                </c:pt>
                <c:pt idx="143">
                  <c:v>-0.91275475265362949</c:v>
                </c:pt>
                <c:pt idx="144">
                  <c:v>0.40328601236474676</c:v>
                </c:pt>
                <c:pt idx="145">
                  <c:v>-0.60421304186528746</c:v>
                </c:pt>
                <c:pt idx="146">
                  <c:v>1.209026299504637</c:v>
                </c:pt>
                <c:pt idx="147">
                  <c:v>2.77612403881656</c:v>
                </c:pt>
                <c:pt idx="148">
                  <c:v>1.2423850359207989</c:v>
                </c:pt>
                <c:pt idx="149">
                  <c:v>-0.72344204227751019</c:v>
                </c:pt>
                <c:pt idx="150">
                  <c:v>0.94917139583051779</c:v>
                </c:pt>
                <c:pt idx="151">
                  <c:v>-0.11586562116352835</c:v>
                </c:pt>
                <c:pt idx="152">
                  <c:v>0.29288612417862159</c:v>
                </c:pt>
                <c:pt idx="153">
                  <c:v>5.3481191118387734</c:v>
                </c:pt>
                <c:pt idx="154">
                  <c:v>0.42540392422968021</c:v>
                </c:pt>
                <c:pt idx="155">
                  <c:v>0.25265350310768248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F-8A49-8A83-EFCE273EE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022078655"/>
        <c:axId val="2022091759"/>
      </c:barChart>
      <c:catAx>
        <c:axId val="20220786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022091759"/>
        <c:crosses val="autoZero"/>
        <c:auto val="1"/>
        <c:lblAlgn val="ctr"/>
        <c:lblOffset val="100"/>
        <c:noMultiLvlLbl val="0"/>
      </c:catAx>
      <c:valAx>
        <c:axId val="2022091759"/>
        <c:scaling>
          <c:orientation val="minMax"/>
          <c:max val="6"/>
          <c:min val="-6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2207865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Ln(UVolFre)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1BEC-514B-94F7-7F98FF1022F6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BEC-514B-94F7-7F98FF1022F6}"/>
              </c:ext>
            </c:extLst>
          </c:dPt>
          <c:dPt>
            <c:idx val="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1BEC-514B-94F7-7F98FF1022F6}"/>
              </c:ext>
            </c:extLst>
          </c:dPt>
          <c:dPt>
            <c:idx val="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BEC-514B-94F7-7F98FF1022F6}"/>
              </c:ext>
            </c:extLst>
          </c:dPt>
          <c:dPt>
            <c:idx val="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1BEC-514B-94F7-7F98FF1022F6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BEC-514B-94F7-7F98FF1022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6"/>
                <c:pt idx="0">
                  <c:v>0.10496475404232342</c:v>
                </c:pt>
                <c:pt idx="1">
                  <c:v>9.8062844041922892E-2</c:v>
                </c:pt>
                <c:pt idx="2">
                  <c:v>0.10202370759609344</c:v>
                </c:pt>
                <c:pt idx="3">
                  <c:v>9.6817801456966737E-2</c:v>
                </c:pt>
                <c:pt idx="4">
                  <c:v>9.683918209098917E-2</c:v>
                </c:pt>
                <c:pt idx="5">
                  <c:v>0.10206553559162368</c:v>
                </c:pt>
              </c:numLit>
            </c:plus>
            <c:minus>
              <c:numLit>
                <c:formatCode>General</c:formatCode>
                <c:ptCount val="6"/>
                <c:pt idx="0">
                  <c:v>0.10496475404232344</c:v>
                </c:pt>
                <c:pt idx="1">
                  <c:v>9.8062844041922892E-2</c:v>
                </c:pt>
                <c:pt idx="2">
                  <c:v>0.10202370759609344</c:v>
                </c:pt>
                <c:pt idx="3">
                  <c:v>9.6817801456966723E-2</c:v>
                </c:pt>
                <c:pt idx="4">
                  <c:v>9.6839182090989184E-2</c:v>
                </c:pt>
                <c:pt idx="5">
                  <c:v>0.10206553559162368</c:v>
                </c:pt>
              </c:numLit>
            </c:minus>
          </c:errBars>
          <c:cat>
            <c:strRef>
              <c:f>'Regr-SalesFre'!$B$82:$B$87</c:f>
              <c:strCache>
                <c:ptCount val="6"/>
                <c:pt idx="0">
                  <c:v>Ln(PriceDiG)</c:v>
                </c:pt>
                <c:pt idx="1">
                  <c:v>Ln(PriceFre)</c:v>
                </c:pt>
                <c:pt idx="2">
                  <c:v>Ln(PriceJO)</c:v>
                </c:pt>
                <c:pt idx="3">
                  <c:v>Ln(PriceRB)</c:v>
                </c:pt>
                <c:pt idx="4">
                  <c:v>Ln(PriceTomb)</c:v>
                </c:pt>
                <c:pt idx="5">
                  <c:v>Ln(PriceTO)</c:v>
                </c:pt>
              </c:strCache>
            </c:strRef>
          </c:cat>
          <c:val>
            <c:numRef>
              <c:f>'Regr-SalesFre'!$C$82:$C$87</c:f>
              <c:numCache>
                <c:formatCode>0.000</c:formatCode>
                <c:ptCount val="6"/>
                <c:pt idx="0">
                  <c:v>0.27729312309346499</c:v>
                </c:pt>
                <c:pt idx="1">
                  <c:v>-0.74615524831403301</c:v>
                </c:pt>
                <c:pt idx="2">
                  <c:v>1.7273993798474257E-2</c:v>
                </c:pt>
                <c:pt idx="3">
                  <c:v>9.5091670242653234E-2</c:v>
                </c:pt>
                <c:pt idx="4">
                  <c:v>-4.5030567599898048E-2</c:v>
                </c:pt>
                <c:pt idx="5">
                  <c:v>5.2169991003006226E-2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EC-514B-94F7-7F98FF102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022128783"/>
        <c:axId val="2022130431"/>
      </c:barChart>
      <c:catAx>
        <c:axId val="2022128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022130431"/>
        <c:crosses val="autoZero"/>
        <c:auto val="1"/>
        <c:lblAlgn val="ctr"/>
        <c:lblOffset val="100"/>
        <c:noMultiLvlLbl val="0"/>
      </c:catAx>
      <c:valAx>
        <c:axId val="20221304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2212878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Ln(UVolFre)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'Regr-SalesFre'!$D$115:$D$270</c:f>
              <c:numCache>
                <c:formatCode>0.000</c:formatCode>
                <c:ptCount val="156"/>
                <c:pt idx="0">
                  <c:v>7.8172227855081662</c:v>
                </c:pt>
                <c:pt idx="1">
                  <c:v>8.3074593270119461</c:v>
                </c:pt>
                <c:pt idx="2">
                  <c:v>9.7162539513811534</c:v>
                </c:pt>
                <c:pt idx="3">
                  <c:v>9.3524473886010124</c:v>
                </c:pt>
                <c:pt idx="4">
                  <c:v>7.8984110928115987</c:v>
                </c:pt>
                <c:pt idx="5">
                  <c:v>7.5579949585308057</c:v>
                </c:pt>
                <c:pt idx="6">
                  <c:v>7.8172227855081662</c:v>
                </c:pt>
                <c:pt idx="7">
                  <c:v>7.7012001808574464</c:v>
                </c:pt>
                <c:pt idx="8">
                  <c:v>8.0861025356691005</c:v>
                </c:pt>
                <c:pt idx="9">
                  <c:v>7.796469243086058</c:v>
                </c:pt>
                <c:pt idx="10">
                  <c:v>8.2319082435641775</c:v>
                </c:pt>
                <c:pt idx="11">
                  <c:v>9.3014599653436658</c:v>
                </c:pt>
                <c:pt idx="12">
                  <c:v>9.0531015955496912</c:v>
                </c:pt>
                <c:pt idx="13">
                  <c:v>7.6727578966425103</c:v>
                </c:pt>
                <c:pt idx="14">
                  <c:v>7.9714309977693505</c:v>
                </c:pt>
                <c:pt idx="15">
                  <c:v>8.0649508917491435</c:v>
                </c:pt>
                <c:pt idx="16">
                  <c:v>7.6515955738576009</c:v>
                </c:pt>
                <c:pt idx="17">
                  <c:v>7.7217917768175353</c:v>
                </c:pt>
                <c:pt idx="18">
                  <c:v>7.8220440081856193</c:v>
                </c:pt>
                <c:pt idx="19">
                  <c:v>7.4552984856832909</c:v>
                </c:pt>
                <c:pt idx="20">
                  <c:v>7.581719640125308</c:v>
                </c:pt>
                <c:pt idx="21">
                  <c:v>7.333676395657684</c:v>
                </c:pt>
                <c:pt idx="22">
                  <c:v>8.7588836800170249</c:v>
                </c:pt>
                <c:pt idx="23">
                  <c:v>9.6373060115303488</c:v>
                </c:pt>
                <c:pt idx="24">
                  <c:v>9.3250074469543094</c:v>
                </c:pt>
                <c:pt idx="25">
                  <c:v>7.3185395485679017</c:v>
                </c:pt>
                <c:pt idx="26">
                  <c:v>7.5989004568714096</c:v>
                </c:pt>
                <c:pt idx="27">
                  <c:v>7.5032896306750816</c:v>
                </c:pt>
                <c:pt idx="28">
                  <c:v>7.5989004568714096</c:v>
                </c:pt>
                <c:pt idx="29">
                  <c:v>7.6916568228105469</c:v>
                </c:pt>
                <c:pt idx="30">
                  <c:v>7.5933741931212904</c:v>
                </c:pt>
                <c:pt idx="31">
                  <c:v>7.4972072232033176</c:v>
                </c:pt>
                <c:pt idx="32">
                  <c:v>8.5697856415354074</c:v>
                </c:pt>
                <c:pt idx="33">
                  <c:v>7.6019019598751658</c:v>
                </c:pt>
                <c:pt idx="34">
                  <c:v>7.642524134232902</c:v>
                </c:pt>
                <c:pt idx="35">
                  <c:v>9.1787465003850048</c:v>
                </c:pt>
                <c:pt idx="36">
                  <c:v>10.072132678513839</c:v>
                </c:pt>
                <c:pt idx="37">
                  <c:v>9.9605292929033258</c:v>
                </c:pt>
                <c:pt idx="38">
                  <c:v>8.3289340419555291</c:v>
                </c:pt>
                <c:pt idx="39">
                  <c:v>7.9979993179797297</c:v>
                </c:pt>
                <c:pt idx="40">
                  <c:v>8.1382726385301858</c:v>
                </c:pt>
                <c:pt idx="41">
                  <c:v>8.2769034812670572</c:v>
                </c:pt>
                <c:pt idx="42">
                  <c:v>8.0238799927348783</c:v>
                </c:pt>
                <c:pt idx="43">
                  <c:v>7.7016523626422257</c:v>
                </c:pt>
                <c:pt idx="44">
                  <c:v>7.6328855053951328</c:v>
                </c:pt>
                <c:pt idx="45">
                  <c:v>7.7630213090185176</c:v>
                </c:pt>
                <c:pt idx="46">
                  <c:v>7.3434262291473669</c:v>
                </c:pt>
                <c:pt idx="47">
                  <c:v>7.7270944847798413</c:v>
                </c:pt>
                <c:pt idx="48">
                  <c:v>7.8931988695446087</c:v>
                </c:pt>
                <c:pt idx="49">
                  <c:v>7.8180279385307294</c:v>
                </c:pt>
                <c:pt idx="50">
                  <c:v>8.2265734749771138</c:v>
                </c:pt>
                <c:pt idx="51">
                  <c:v>9.5581057432849708</c:v>
                </c:pt>
                <c:pt idx="52">
                  <c:v>8.0339827346832209</c:v>
                </c:pt>
                <c:pt idx="53">
                  <c:v>7.9648508874473132</c:v>
                </c:pt>
                <c:pt idx="54">
                  <c:v>7.8909567161389189</c:v>
                </c:pt>
                <c:pt idx="55">
                  <c:v>7.8087293067443992</c:v>
                </c:pt>
                <c:pt idx="56">
                  <c:v>8.738895704934043</c:v>
                </c:pt>
                <c:pt idx="57">
                  <c:v>8.0375431851186967</c:v>
                </c:pt>
                <c:pt idx="58">
                  <c:v>9.3303431643708787</c:v>
                </c:pt>
                <c:pt idx="59">
                  <c:v>9.3139794067356689</c:v>
                </c:pt>
                <c:pt idx="60">
                  <c:v>9.0045454589965868</c:v>
                </c:pt>
                <c:pt idx="61">
                  <c:v>7.6123368371677458</c:v>
                </c:pt>
                <c:pt idx="62">
                  <c:v>7.5517122153513103</c:v>
                </c:pt>
                <c:pt idx="63">
                  <c:v>7.2041492920359396</c:v>
                </c:pt>
                <c:pt idx="64">
                  <c:v>7.3238305662023171</c:v>
                </c:pt>
                <c:pt idx="65">
                  <c:v>7.2737863178448947</c:v>
                </c:pt>
                <c:pt idx="66">
                  <c:v>7.4139702901904441</c:v>
                </c:pt>
                <c:pt idx="67">
                  <c:v>8.453401058328458</c:v>
                </c:pt>
                <c:pt idx="68">
                  <c:v>7.6226639513235952</c:v>
                </c:pt>
                <c:pt idx="69">
                  <c:v>7.1212524532445416</c:v>
                </c:pt>
                <c:pt idx="70">
                  <c:v>7.498315870766981</c:v>
                </c:pt>
                <c:pt idx="71">
                  <c:v>7.1899221707458079</c:v>
                </c:pt>
                <c:pt idx="72">
                  <c:v>7.5010821242598711</c:v>
                </c:pt>
                <c:pt idx="73">
                  <c:v>7.4815557019095165</c:v>
                </c:pt>
                <c:pt idx="74">
                  <c:v>9.2719057276343371</c:v>
                </c:pt>
                <c:pt idx="75">
                  <c:v>10.179223553969509</c:v>
                </c:pt>
                <c:pt idx="76">
                  <c:v>9.9360515434093912</c:v>
                </c:pt>
                <c:pt idx="77">
                  <c:v>7.7685333009260331</c:v>
                </c:pt>
                <c:pt idx="78">
                  <c:v>7.6619975589018932</c:v>
                </c:pt>
                <c:pt idx="79">
                  <c:v>7.6755460025378479</c:v>
                </c:pt>
                <c:pt idx="80">
                  <c:v>7.790696031174738</c:v>
                </c:pt>
                <c:pt idx="81">
                  <c:v>8.8346282220173666</c:v>
                </c:pt>
                <c:pt idx="82">
                  <c:v>8.024207485778577</c:v>
                </c:pt>
                <c:pt idx="83">
                  <c:v>7.5963923040641959</c:v>
                </c:pt>
                <c:pt idx="84">
                  <c:v>7.5175208506030309</c:v>
                </c:pt>
                <c:pt idx="85">
                  <c:v>7.410347097821024</c:v>
                </c:pt>
                <c:pt idx="86">
                  <c:v>8.5581431777451922</c:v>
                </c:pt>
                <c:pt idx="87">
                  <c:v>7.5043915591612382</c:v>
                </c:pt>
                <c:pt idx="88">
                  <c:v>7.329093736246592</c:v>
                </c:pt>
                <c:pt idx="89">
                  <c:v>7.3018223421379318</c:v>
                </c:pt>
                <c:pt idx="90">
                  <c:v>7.2984451015081468</c:v>
                </c:pt>
                <c:pt idx="91">
                  <c:v>8.9602109555769864</c:v>
                </c:pt>
                <c:pt idx="92">
                  <c:v>7.726212650507529</c:v>
                </c:pt>
                <c:pt idx="93">
                  <c:v>7.564238475170491</c:v>
                </c:pt>
                <c:pt idx="94">
                  <c:v>7.2751723194527713</c:v>
                </c:pt>
                <c:pt idx="95">
                  <c:v>8.525756422076725</c:v>
                </c:pt>
                <c:pt idx="96">
                  <c:v>7.7853051825398616</c:v>
                </c:pt>
                <c:pt idx="97">
                  <c:v>9.5828000784703633</c:v>
                </c:pt>
                <c:pt idx="98">
                  <c:v>10.587417383546464</c:v>
                </c:pt>
                <c:pt idx="99">
                  <c:v>10.188741679913241</c:v>
                </c:pt>
                <c:pt idx="100">
                  <c:v>7.3802557884264601</c:v>
                </c:pt>
                <c:pt idx="101">
                  <c:v>7.6694952510076941</c:v>
                </c:pt>
                <c:pt idx="102">
                  <c:v>7.4960973451759561</c:v>
                </c:pt>
                <c:pt idx="103">
                  <c:v>7.5432733467054458</c:v>
                </c:pt>
                <c:pt idx="104">
                  <c:v>7.6643466320986171</c:v>
                </c:pt>
                <c:pt idx="105">
                  <c:v>8.1158197012113273</c:v>
                </c:pt>
                <c:pt idx="106">
                  <c:v>9.5305380361046428</c:v>
                </c:pt>
                <c:pt idx="107">
                  <c:v>9.3494934333687585</c:v>
                </c:pt>
                <c:pt idx="108">
                  <c:v>7.8292325375435921</c:v>
                </c:pt>
                <c:pt idx="109">
                  <c:v>7.8497137576048699</c:v>
                </c:pt>
                <c:pt idx="110">
                  <c:v>7.6420444028732577</c:v>
                </c:pt>
                <c:pt idx="111">
                  <c:v>8.5998785580348454</c:v>
                </c:pt>
                <c:pt idx="112">
                  <c:v>7.2026611965232377</c:v>
                </c:pt>
                <c:pt idx="113">
                  <c:v>7.1220598816291423</c:v>
                </c:pt>
                <c:pt idx="114">
                  <c:v>7.3870902356567569</c:v>
                </c:pt>
                <c:pt idx="115">
                  <c:v>8.119100837637486</c:v>
                </c:pt>
                <c:pt idx="116">
                  <c:v>7.8009820712577405</c:v>
                </c:pt>
                <c:pt idx="117">
                  <c:v>7.6615270813585168</c:v>
                </c:pt>
                <c:pt idx="118">
                  <c:v>7.5673456760132396</c:v>
                </c:pt>
                <c:pt idx="119">
                  <c:v>8.4955608912891236</c:v>
                </c:pt>
                <c:pt idx="120">
                  <c:v>7.6280311269303347</c:v>
                </c:pt>
                <c:pt idx="121">
                  <c:v>9.4841009890869188</c:v>
                </c:pt>
                <c:pt idx="122">
                  <c:v>7.7527648088513281</c:v>
                </c:pt>
                <c:pt idx="123">
                  <c:v>7.5245612262853596</c:v>
                </c:pt>
                <c:pt idx="124">
                  <c:v>7.5120712458354664</c:v>
                </c:pt>
                <c:pt idx="125">
                  <c:v>7.4764723811639051</c:v>
                </c:pt>
                <c:pt idx="126">
                  <c:v>8.7646780741166062</c:v>
                </c:pt>
                <c:pt idx="127">
                  <c:v>9.6019093748922355</c:v>
                </c:pt>
                <c:pt idx="128">
                  <c:v>9.3041949474478063</c:v>
                </c:pt>
                <c:pt idx="129">
                  <c:v>7.6167758086983728</c:v>
                </c:pt>
                <c:pt idx="130">
                  <c:v>7.1724245771248452</c:v>
                </c:pt>
                <c:pt idx="131">
                  <c:v>7.4764723811639051</c:v>
                </c:pt>
                <c:pt idx="132">
                  <c:v>7.2327331361776146</c:v>
                </c:pt>
                <c:pt idx="133">
                  <c:v>9.0031931937465721</c:v>
                </c:pt>
                <c:pt idx="134">
                  <c:v>10.073652179059451</c:v>
                </c:pt>
                <c:pt idx="135">
                  <c:v>9.6779661764359535</c:v>
                </c:pt>
                <c:pt idx="136">
                  <c:v>7.2923371761738771</c:v>
                </c:pt>
                <c:pt idx="137">
                  <c:v>10.004824986442046</c:v>
                </c:pt>
                <c:pt idx="138">
                  <c:v>7.818430272070656</c:v>
                </c:pt>
                <c:pt idx="139">
                  <c:v>8.8443363327489326</c:v>
                </c:pt>
                <c:pt idx="140">
                  <c:v>7.6563371664301831</c:v>
                </c:pt>
                <c:pt idx="141">
                  <c:v>7.4667994750186022</c:v>
                </c:pt>
                <c:pt idx="142">
                  <c:v>7.3105501585344221</c:v>
                </c:pt>
                <c:pt idx="143">
                  <c:v>7.4259536570775406</c:v>
                </c:pt>
                <c:pt idx="144">
                  <c:v>8.854379458771108</c:v>
                </c:pt>
                <c:pt idx="145">
                  <c:v>7.6657534318616989</c:v>
                </c:pt>
                <c:pt idx="146">
                  <c:v>7.5416830998821114</c:v>
                </c:pt>
                <c:pt idx="147">
                  <c:v>7.2902928824465967</c:v>
                </c:pt>
                <c:pt idx="148">
                  <c:v>7.5913570466985512</c:v>
                </c:pt>
                <c:pt idx="149">
                  <c:v>8.4744944368831217</c:v>
                </c:pt>
                <c:pt idx="150">
                  <c:v>7.6690282885896828</c:v>
                </c:pt>
                <c:pt idx="151">
                  <c:v>9.6118643908510855</c:v>
                </c:pt>
                <c:pt idx="152">
                  <c:v>8.4471998195957028</c:v>
                </c:pt>
                <c:pt idx="153">
                  <c:v>9.0207524791901825</c:v>
                </c:pt>
                <c:pt idx="154">
                  <c:v>10.097943521986084</c:v>
                </c:pt>
                <c:pt idx="155">
                  <c:v>9.84934810643548</c:v>
                </c:pt>
              </c:numCache>
            </c:numRef>
          </c:xVal>
          <c:yVal>
            <c:numRef>
              <c:f>'Regr-SalesFre'!$G$115:$G$270</c:f>
              <c:numCache>
                <c:formatCode>0.000</c:formatCode>
                <c:ptCount val="156"/>
                <c:pt idx="0">
                  <c:v>-0.48171177016555233</c:v>
                </c:pt>
                <c:pt idx="1">
                  <c:v>0.20945290279705578</c:v>
                </c:pt>
                <c:pt idx="2">
                  <c:v>2.3292145137912366</c:v>
                </c:pt>
                <c:pt idx="3">
                  <c:v>1.8881942492110753</c:v>
                </c:pt>
                <c:pt idx="4">
                  <c:v>-0.3004271580032748</c:v>
                </c:pt>
                <c:pt idx="5">
                  <c:v>-0.72164282264689839</c:v>
                </c:pt>
                <c:pt idx="6">
                  <c:v>-0.45282665234418029</c:v>
                </c:pt>
                <c:pt idx="7">
                  <c:v>-0.35020340049419735</c:v>
                </c:pt>
                <c:pt idx="8">
                  <c:v>0.45317707542351177</c:v>
                </c:pt>
                <c:pt idx="9">
                  <c:v>-0.53862443285503281</c:v>
                </c:pt>
                <c:pt idx="10">
                  <c:v>0.53365318860815469</c:v>
                </c:pt>
                <c:pt idx="11">
                  <c:v>1.8553079093519886</c:v>
                </c:pt>
                <c:pt idx="12">
                  <c:v>1.234462070541519</c:v>
                </c:pt>
                <c:pt idx="13">
                  <c:v>-0.63366603279308376</c:v>
                </c:pt>
                <c:pt idx="14">
                  <c:v>-9.0039237970965802E-2</c:v>
                </c:pt>
                <c:pt idx="15">
                  <c:v>-0.17511743833143342</c:v>
                </c:pt>
                <c:pt idx="16">
                  <c:v>-0.87090913552923366</c:v>
                </c:pt>
                <c:pt idx="17">
                  <c:v>-0.5803696347073255</c:v>
                </c:pt>
                <c:pt idx="18">
                  <c:v>-0.47211367632225854</c:v>
                </c:pt>
                <c:pt idx="19">
                  <c:v>-0.66779526875076833</c:v>
                </c:pt>
                <c:pt idx="20">
                  <c:v>-0.68884565359851835</c:v>
                </c:pt>
                <c:pt idx="21">
                  <c:v>-1.4935298627640905</c:v>
                </c:pt>
                <c:pt idx="22">
                  <c:v>0.70161162177305358</c:v>
                </c:pt>
                <c:pt idx="23">
                  <c:v>1.4045724875559635</c:v>
                </c:pt>
                <c:pt idx="24">
                  <c:v>0.77414134705226822</c:v>
                </c:pt>
                <c:pt idx="25">
                  <c:v>-0.91582073457476065</c:v>
                </c:pt>
                <c:pt idx="26">
                  <c:v>-1.0762351426671126</c:v>
                </c:pt>
                <c:pt idx="27">
                  <c:v>-1.0841343896948505</c:v>
                </c:pt>
                <c:pt idx="28">
                  <c:v>-0.95902051516640374</c:v>
                </c:pt>
                <c:pt idx="29">
                  <c:v>-0.75443979612446921</c:v>
                </c:pt>
                <c:pt idx="30">
                  <c:v>-0.59503965060593134</c:v>
                </c:pt>
                <c:pt idx="31">
                  <c:v>-0.85797451767474509</c:v>
                </c:pt>
                <c:pt idx="32">
                  <c:v>-0.57829463189546793</c:v>
                </c:pt>
                <c:pt idx="33">
                  <c:v>-1.0631892660764537</c:v>
                </c:pt>
                <c:pt idx="34">
                  <c:v>-0.69539618702726058</c:v>
                </c:pt>
                <c:pt idx="35">
                  <c:v>1.6062778311269474</c:v>
                </c:pt>
                <c:pt idx="36">
                  <c:v>-0.14135944229799347</c:v>
                </c:pt>
                <c:pt idx="37">
                  <c:v>-1.3886184713596788</c:v>
                </c:pt>
                <c:pt idx="38">
                  <c:v>0.93554619970934461</c:v>
                </c:pt>
                <c:pt idx="39">
                  <c:v>-0.16748464095565088</c:v>
                </c:pt>
                <c:pt idx="40">
                  <c:v>-0.45058640760917229</c:v>
                </c:pt>
                <c:pt idx="41">
                  <c:v>-0.12897642959845995</c:v>
                </c:pt>
                <c:pt idx="42">
                  <c:v>-0.46201852313258518</c:v>
                </c:pt>
                <c:pt idx="43">
                  <c:v>-0.13747890021267084</c:v>
                </c:pt>
                <c:pt idx="44">
                  <c:v>-0.89149620586492384</c:v>
                </c:pt>
                <c:pt idx="45">
                  <c:v>-1.1145161883316546</c:v>
                </c:pt>
                <c:pt idx="46">
                  <c:v>-0.50707086642540111</c:v>
                </c:pt>
                <c:pt idx="47">
                  <c:v>-0.82989686432349741</c:v>
                </c:pt>
                <c:pt idx="48">
                  <c:v>-1.2282868298540426</c:v>
                </c:pt>
                <c:pt idx="49">
                  <c:v>-0.88836675829713396</c:v>
                </c:pt>
                <c:pt idx="50">
                  <c:v>-0.19993145893374153</c:v>
                </c:pt>
                <c:pt idx="51">
                  <c:v>0.66342932072677896</c:v>
                </c:pt>
                <c:pt idx="52">
                  <c:v>-1.3048192988587217</c:v>
                </c:pt>
                <c:pt idx="53">
                  <c:v>-0.79643130228106496</c:v>
                </c:pt>
                <c:pt idx="54">
                  <c:v>-5.6567884009844707E-2</c:v>
                </c:pt>
                <c:pt idx="55">
                  <c:v>-0.16193230319632204</c:v>
                </c:pt>
                <c:pt idx="56">
                  <c:v>-0.36758685418413795</c:v>
                </c:pt>
                <c:pt idx="57">
                  <c:v>-1.0001246958935377</c:v>
                </c:pt>
                <c:pt idx="58">
                  <c:v>0.93265953455813977</c:v>
                </c:pt>
                <c:pt idx="59">
                  <c:v>0.67454745567035601</c:v>
                </c:pt>
                <c:pt idx="60">
                  <c:v>0.37100290985039636</c:v>
                </c:pt>
                <c:pt idx="61">
                  <c:v>-0.53304400120291706</c:v>
                </c:pt>
                <c:pt idx="62">
                  <c:v>-5.8854609765421791E-2</c:v>
                </c:pt>
                <c:pt idx="63">
                  <c:v>0.15637586760620062</c:v>
                </c:pt>
                <c:pt idx="64">
                  <c:v>0.42479082077559011</c:v>
                </c:pt>
                <c:pt idx="65">
                  <c:v>-0.91080617707008005</c:v>
                </c:pt>
                <c:pt idx="66">
                  <c:v>-0.84972161786677536</c:v>
                </c:pt>
                <c:pt idx="67">
                  <c:v>-0.78664195929790348</c:v>
                </c:pt>
                <c:pt idx="68">
                  <c:v>-0.63941510990387318</c:v>
                </c:pt>
                <c:pt idx="69">
                  <c:v>-0.85353150882399842</c:v>
                </c:pt>
                <c:pt idx="70">
                  <c:v>-0.86802931714391718</c:v>
                </c:pt>
                <c:pt idx="71">
                  <c:v>-0.30461762781574198</c:v>
                </c:pt>
                <c:pt idx="72">
                  <c:v>0.86442440747827198</c:v>
                </c:pt>
                <c:pt idx="73">
                  <c:v>0.41586477378250608</c:v>
                </c:pt>
                <c:pt idx="74">
                  <c:v>2.785733762843599</c:v>
                </c:pt>
                <c:pt idx="75">
                  <c:v>4.2949522995336409</c:v>
                </c:pt>
                <c:pt idx="76">
                  <c:v>3.623487478825413</c:v>
                </c:pt>
                <c:pt idx="77">
                  <c:v>0.65071653817048558</c:v>
                </c:pt>
                <c:pt idx="78">
                  <c:v>0.40159084802695078</c:v>
                </c:pt>
                <c:pt idx="79">
                  <c:v>0.14944232096903365</c:v>
                </c:pt>
                <c:pt idx="80">
                  <c:v>0.12409949689495728</c:v>
                </c:pt>
                <c:pt idx="81">
                  <c:v>-0.35084191507746026</c:v>
                </c:pt>
                <c:pt idx="82">
                  <c:v>-0.59262675234208628</c:v>
                </c:pt>
                <c:pt idx="83">
                  <c:v>-0.51442767619239627</c:v>
                </c:pt>
                <c:pt idx="84">
                  <c:v>-0.66448369522819584</c:v>
                </c:pt>
                <c:pt idx="85">
                  <c:v>-1.1405801347278939</c:v>
                </c:pt>
                <c:pt idx="86">
                  <c:v>-0.66425505922522687</c:v>
                </c:pt>
                <c:pt idx="87">
                  <c:v>-0.5287550895990778</c:v>
                </c:pt>
                <c:pt idx="88">
                  <c:v>-0.13042278867968765</c:v>
                </c:pt>
                <c:pt idx="89">
                  <c:v>0.16789384072211086</c:v>
                </c:pt>
                <c:pt idx="90">
                  <c:v>0.17344051440740679</c:v>
                </c:pt>
                <c:pt idx="91">
                  <c:v>-6.1093134275622046E-2</c:v>
                </c:pt>
                <c:pt idx="92">
                  <c:v>-0.61624441227357085</c:v>
                </c:pt>
                <c:pt idx="93">
                  <c:v>-0.44284351168621383</c:v>
                </c:pt>
                <c:pt idx="94">
                  <c:v>-1.1624406019329951</c:v>
                </c:pt>
                <c:pt idx="95">
                  <c:v>0.1273135160342096</c:v>
                </c:pt>
                <c:pt idx="96">
                  <c:v>2.1614001040017423</c:v>
                </c:pt>
                <c:pt idx="97">
                  <c:v>0.65644912797073929</c:v>
                </c:pt>
                <c:pt idx="98">
                  <c:v>1.247897708502395</c:v>
                </c:pt>
                <c:pt idx="99">
                  <c:v>0.90649561723988026</c:v>
                </c:pt>
                <c:pt idx="100">
                  <c:v>-1.2782197626000849E-2</c:v>
                </c:pt>
                <c:pt idx="101">
                  <c:v>0.3005482731522317</c:v>
                </c:pt>
                <c:pt idx="102">
                  <c:v>9.0249287445094376E-2</c:v>
                </c:pt>
                <c:pt idx="103">
                  <c:v>0.28510344091060008</c:v>
                </c:pt>
                <c:pt idx="104">
                  <c:v>-0.20014866571888779</c:v>
                </c:pt>
                <c:pt idx="105">
                  <c:v>0.63233694392355833</c:v>
                </c:pt>
                <c:pt idx="106">
                  <c:v>1.8678413947532453</c:v>
                </c:pt>
                <c:pt idx="107">
                  <c:v>1.3230512579434646</c:v>
                </c:pt>
                <c:pt idx="108">
                  <c:v>0.28347926061036266</c:v>
                </c:pt>
                <c:pt idx="109">
                  <c:v>0.12299896731474798</c:v>
                </c:pt>
                <c:pt idx="110">
                  <c:v>-0.55061567852687998</c:v>
                </c:pt>
                <c:pt idx="111">
                  <c:v>0.40047205226841881</c:v>
                </c:pt>
                <c:pt idx="112">
                  <c:v>-0.32263673887206151</c:v>
                </c:pt>
                <c:pt idx="113">
                  <c:v>-1.0726875247526826</c:v>
                </c:pt>
                <c:pt idx="114">
                  <c:v>-0.25155613518948977</c:v>
                </c:pt>
                <c:pt idx="115">
                  <c:v>7.5422983990179146E-2</c:v>
                </c:pt>
                <c:pt idx="116">
                  <c:v>0.45727076405243366</c:v>
                </c:pt>
                <c:pt idx="117">
                  <c:v>-0.20447875809179808</c:v>
                </c:pt>
                <c:pt idx="118">
                  <c:v>0.16885075707606401</c:v>
                </c:pt>
                <c:pt idx="119">
                  <c:v>0.34929502051759104</c:v>
                </c:pt>
                <c:pt idx="120">
                  <c:v>0.7067468344198462</c:v>
                </c:pt>
                <c:pt idx="121">
                  <c:v>2.9920884793420623</c:v>
                </c:pt>
                <c:pt idx="122">
                  <c:v>-0.19506940680500665</c:v>
                </c:pt>
                <c:pt idx="123">
                  <c:v>-0.28768749624381801</c:v>
                </c:pt>
                <c:pt idx="124">
                  <c:v>-0.13001289361324428</c:v>
                </c:pt>
                <c:pt idx="125">
                  <c:v>-0.6502282234241874</c:v>
                </c:pt>
                <c:pt idx="126">
                  <c:v>1.4394493576620475</c:v>
                </c:pt>
                <c:pt idx="127">
                  <c:v>2.9920837610785305</c:v>
                </c:pt>
                <c:pt idx="128">
                  <c:v>2.3703439194085947</c:v>
                </c:pt>
                <c:pt idx="129">
                  <c:v>0.29404488818327618</c:v>
                </c:pt>
                <c:pt idx="130">
                  <c:v>-0.85023272278567275</c:v>
                </c:pt>
                <c:pt idx="131">
                  <c:v>-0.12946385072369374</c:v>
                </c:pt>
                <c:pt idx="132">
                  <c:v>-1.3491273034804494</c:v>
                </c:pt>
                <c:pt idx="133">
                  <c:v>0.36477315922396963</c:v>
                </c:pt>
                <c:pt idx="134">
                  <c:v>0.61847765090370432</c:v>
                </c:pt>
                <c:pt idx="135">
                  <c:v>-0.2181506869468666</c:v>
                </c:pt>
                <c:pt idx="136">
                  <c:v>-0.67175410696722693</c:v>
                </c:pt>
                <c:pt idx="137">
                  <c:v>-5.8748469057672406E-2</c:v>
                </c:pt>
                <c:pt idx="138">
                  <c:v>-0.31395466599271843</c:v>
                </c:pt>
                <c:pt idx="139">
                  <c:v>-0.52834349156829041</c:v>
                </c:pt>
                <c:pt idx="140">
                  <c:v>-0.2936182431007015</c:v>
                </c:pt>
                <c:pt idx="141">
                  <c:v>-0.29078746473836259</c:v>
                </c:pt>
                <c:pt idx="142">
                  <c:v>-0.65996167321265009</c:v>
                </c:pt>
                <c:pt idx="143">
                  <c:v>-0.64605595603098431</c:v>
                </c:pt>
                <c:pt idx="144">
                  <c:v>-0.28401286182374685</c:v>
                </c:pt>
                <c:pt idx="145">
                  <c:v>-0.5851491642321236</c:v>
                </c:pt>
                <c:pt idx="146">
                  <c:v>-0.3009009254857965</c:v>
                </c:pt>
                <c:pt idx="147">
                  <c:v>0.22387444130357184</c:v>
                </c:pt>
                <c:pt idx="148">
                  <c:v>0.44515117260581866</c:v>
                </c:pt>
                <c:pt idx="149">
                  <c:v>-0.45686416699228494</c:v>
                </c:pt>
                <c:pt idx="150">
                  <c:v>-0.25753304688701889</c:v>
                </c:pt>
                <c:pt idx="151">
                  <c:v>-0.89729451345575029</c:v>
                </c:pt>
                <c:pt idx="152">
                  <c:v>6.1862359235943095E-3</c:v>
                </c:pt>
                <c:pt idx="153">
                  <c:v>-0.75292025158416598</c:v>
                </c:pt>
                <c:pt idx="154">
                  <c:v>0.42557147596212808</c:v>
                </c:pt>
                <c:pt idx="155">
                  <c:v>0.28203987695727167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AB-A740-B815-001F76415E08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8.3074593270119461</c:v>
              </c:pt>
            </c:numLit>
          </c:xVal>
          <c:yVal>
            <c:numLit>
              <c:formatCode>General</c:formatCode>
              <c:ptCount val="1"/>
              <c:pt idx="0">
                <c:v>0.20945290279705578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6AB-A740-B815-001F76415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162015"/>
        <c:axId val="2022167663"/>
      </c:scatterChart>
      <c:valAx>
        <c:axId val="2022162015"/>
        <c:scaling>
          <c:orientation val="minMax"/>
          <c:max val="11"/>
          <c:min val="7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Ln(UVolFre)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022167663"/>
        <c:crosses val="autoZero"/>
        <c:crossBetween val="midCat"/>
      </c:valAx>
      <c:valAx>
        <c:axId val="2022167663"/>
        <c:scaling>
          <c:orientation val="minMax"/>
          <c:max val="5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2216201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Pred(Ln(UVolFre))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'Regr-SalesFre'!$E$115:$E$270</c:f>
              <c:numCache>
                <c:formatCode>0.000</c:formatCode>
                <c:ptCount val="156"/>
                <c:pt idx="0">
                  <c:v>8.0636985665137946</c:v>
                </c:pt>
                <c:pt idx="1">
                  <c:v>8.2002892909070404</c:v>
                </c:pt>
                <c:pt idx="2">
                  <c:v>8.5244728864944932</c:v>
                </c:pt>
                <c:pt idx="3">
                  <c:v>8.3863216240080245</c:v>
                </c:pt>
                <c:pt idx="4">
                  <c:v>8.0521296087173031</c:v>
                </c:pt>
                <c:pt idx="5">
                  <c:v>7.9272354241683214</c:v>
                </c:pt>
                <c:pt idx="6">
                  <c:v>8.0489190190428754</c:v>
                </c:pt>
                <c:pt idx="7">
                  <c:v>7.8803875331157673</c:v>
                </c:pt>
                <c:pt idx="8">
                  <c:v>7.8542270023798286</c:v>
                </c:pt>
                <c:pt idx="9">
                  <c:v>8.0720653276721421</c:v>
                </c:pt>
                <c:pt idx="10">
                  <c:v>7.9588557781798785</c:v>
                </c:pt>
                <c:pt idx="11">
                  <c:v>8.3521610395435086</c:v>
                </c:pt>
                <c:pt idx="12">
                  <c:v>8.4214686942942834</c:v>
                </c:pt>
                <c:pt idx="13">
                  <c:v>7.996983585119537</c:v>
                </c:pt>
                <c:pt idx="14">
                  <c:v>8.0175010605631627</c:v>
                </c:pt>
                <c:pt idx="15">
                  <c:v>8.1545526205290138</c:v>
                </c:pt>
                <c:pt idx="16">
                  <c:v>8.0972106130972108</c:v>
                </c:pt>
                <c:pt idx="17">
                  <c:v>8.0187474832086778</c:v>
                </c:pt>
                <c:pt idx="18">
                  <c:v>8.0636087659970705</c:v>
                </c:pt>
                <c:pt idx="19">
                  <c:v>7.7969869612641176</c:v>
                </c:pt>
                <c:pt idx="20">
                  <c:v>7.9341788926876378</c:v>
                </c:pt>
                <c:pt idx="21">
                  <c:v>8.097865610410512</c:v>
                </c:pt>
                <c:pt idx="22">
                  <c:v>8.3998925090524725</c:v>
                </c:pt>
                <c:pt idx="23">
                  <c:v>8.9186333066255123</c:v>
                </c:pt>
                <c:pt idx="24">
                  <c:v>8.928905244473599</c:v>
                </c:pt>
                <c:pt idx="25">
                  <c:v>7.7871343490185643</c:v>
                </c:pt>
                <c:pt idx="26">
                  <c:v>8.1495739379105281</c:v>
                </c:pt>
                <c:pt idx="27">
                  <c:v>8.0580048918846305</c:v>
                </c:pt>
                <c:pt idx="28">
                  <c:v>8.0895991383564461</c:v>
                </c:pt>
                <c:pt idx="29">
                  <c:v>8.0776784014562146</c:v>
                </c:pt>
                <c:pt idx="30">
                  <c:v>7.8978360553714255</c:v>
                </c:pt>
                <c:pt idx="31">
                  <c:v>7.9362040516472918</c:v>
                </c:pt>
                <c:pt idx="32">
                  <c:v>8.865679638476383</c:v>
                </c:pt>
                <c:pt idx="33">
                  <c:v>8.1459003027492347</c:v>
                </c:pt>
                <c:pt idx="34">
                  <c:v>7.9983350753834053</c:v>
                </c:pt>
                <c:pt idx="35">
                  <c:v>8.3568679259773724</c:v>
                </c:pt>
                <c:pt idx="36">
                  <c:v>10.14446157122689</c:v>
                </c:pt>
                <c:pt idx="37">
                  <c:v>10.671038861996047</c:v>
                </c:pt>
                <c:pt idx="38">
                  <c:v>7.8502463815710621</c:v>
                </c:pt>
                <c:pt idx="39">
                  <c:v>8.0836955999530851</c:v>
                </c:pt>
                <c:pt idx="40">
                  <c:v>8.3688226138563504</c:v>
                </c:pt>
                <c:pt idx="41">
                  <c:v>8.3428964010698525</c:v>
                </c:pt>
                <c:pt idx="42">
                  <c:v>8.2602793987303649</c:v>
                </c:pt>
                <c:pt idx="43">
                  <c:v>7.7719957119236174</c:v>
                </c:pt>
                <c:pt idx="44">
                  <c:v>8.0890342590961168</c:v>
                </c:pt>
                <c:pt idx="45">
                  <c:v>8.3332819191506982</c:v>
                </c:pt>
                <c:pt idx="46">
                  <c:v>7.602877410471935</c:v>
                </c:pt>
                <c:pt idx="47">
                  <c:v>8.1517249182815128</c:v>
                </c:pt>
                <c:pt idx="48">
                  <c:v>8.5216721069395707</c:v>
                </c:pt>
                <c:pt idx="49">
                  <c:v>8.2725754587116729</c:v>
                </c:pt>
                <c:pt idx="50">
                  <c:v>8.3288717071157077</c:v>
                </c:pt>
                <c:pt idx="51">
                  <c:v>9.2186511770991189</c:v>
                </c:pt>
                <c:pt idx="52">
                  <c:v>8.7016150735129152</c:v>
                </c:pt>
                <c:pt idx="53">
                  <c:v>8.3723581135621981</c:v>
                </c:pt>
                <c:pt idx="54">
                  <c:v>7.919900608015114</c:v>
                </c:pt>
                <c:pt idx="55">
                  <c:v>7.8915846434255785</c:v>
                </c:pt>
                <c:pt idx="56">
                  <c:v>8.9269775883003142</c:v>
                </c:pt>
                <c:pt idx="57">
                  <c:v>8.5492734993658619</c:v>
                </c:pt>
                <c:pt idx="58">
                  <c:v>8.8531325138742964</c:v>
                </c:pt>
                <c:pt idx="59">
                  <c:v>8.9688360632284692</c:v>
                </c:pt>
                <c:pt idx="60">
                  <c:v>8.8147156943443541</c:v>
                </c:pt>
                <c:pt idx="61">
                  <c:v>7.8850776017575361</c:v>
                </c:pt>
                <c:pt idx="62">
                  <c:v>7.5818261482176972</c:v>
                </c:pt>
                <c:pt idx="63">
                  <c:v>7.1241369973697228</c:v>
                </c:pt>
                <c:pt idx="64">
                  <c:v>7.106479328804272</c:v>
                </c:pt>
                <c:pt idx="65">
                  <c:v>7.7398153371502492</c:v>
                </c:pt>
                <c:pt idx="66">
                  <c:v>7.8487443861796322</c:v>
                </c:pt>
                <c:pt idx="67">
                  <c:v>8.8558994054689357</c:v>
                </c:pt>
                <c:pt idx="68">
                  <c:v>7.9498312500304413</c:v>
                </c:pt>
                <c:pt idx="69">
                  <c:v>7.5579759428491382</c:v>
                </c:pt>
                <c:pt idx="70">
                  <c:v>7.9424574033795237</c:v>
                </c:pt>
                <c:pt idx="71">
                  <c:v>7.3457848097221472</c:v>
                </c:pt>
                <c:pt idx="72">
                  <c:v>7.0587851032003455</c:v>
                </c:pt>
                <c:pt idx="73">
                  <c:v>7.2687716238382141</c:v>
                </c:pt>
                <c:pt idx="74">
                  <c:v>7.846539051136789</c:v>
                </c:pt>
                <c:pt idx="75">
                  <c:v>7.9816402936608419</c:v>
                </c:pt>
                <c:pt idx="76">
                  <c:v>8.0820343455305181</c:v>
                </c:pt>
                <c:pt idx="77">
                  <c:v>7.4355834398426541</c:v>
                </c:pt>
                <c:pt idx="78">
                  <c:v>7.4565169706278356</c:v>
                </c:pt>
                <c:pt idx="79">
                  <c:v>7.5990813714920309</c:v>
                </c:pt>
                <c:pt idx="80">
                  <c:v>7.7271984745153315</c:v>
                </c:pt>
                <c:pt idx="81">
                  <c:v>9.0141422808050695</c:v>
                </c:pt>
                <c:pt idx="82">
                  <c:v>8.3274347487913634</c:v>
                </c:pt>
                <c:pt idx="83">
                  <c:v>7.859607718578264</c:v>
                </c:pt>
                <c:pt idx="84">
                  <c:v>7.8575149049118735</c:v>
                </c:pt>
                <c:pt idx="85">
                  <c:v>7.9939437564825857</c:v>
                </c:pt>
                <c:pt idx="86">
                  <c:v>8.8980202466679845</c:v>
                </c:pt>
                <c:pt idx="87">
                  <c:v>7.7749378313124131</c:v>
                </c:pt>
                <c:pt idx="88">
                  <c:v>7.3958267095549051</c:v>
                </c:pt>
                <c:pt idx="89">
                  <c:v>7.2159166863475512</c:v>
                </c:pt>
                <c:pt idx="90">
                  <c:v>7.2097013985425917</c:v>
                </c:pt>
                <c:pt idx="91">
                  <c:v>8.9914702664704915</c:v>
                </c:pt>
                <c:pt idx="92">
                  <c:v>8.0415242791880619</c:v>
                </c:pt>
                <c:pt idx="93">
                  <c:v>7.7908266699505822</c:v>
                </c:pt>
                <c:pt idx="94">
                  <c:v>7.8699542471096775</c:v>
                </c:pt>
                <c:pt idx="95">
                  <c:v>8.4606143594563328</c:v>
                </c:pt>
                <c:pt idx="96">
                  <c:v>6.6793891312953821</c:v>
                </c:pt>
                <c:pt idx="97">
                  <c:v>9.2469170431618313</c:v>
                </c:pt>
                <c:pt idx="98">
                  <c:v>9.9489099162853769</c:v>
                </c:pt>
                <c:pt idx="99">
                  <c:v>9.7249182297189645</c:v>
                </c:pt>
                <c:pt idx="100">
                  <c:v>7.3867960108954982</c:v>
                </c:pt>
                <c:pt idx="101">
                  <c:v>7.515714764536229</c:v>
                </c:pt>
                <c:pt idx="102">
                  <c:v>7.4499198071004669</c:v>
                </c:pt>
                <c:pt idx="103">
                  <c:v>7.397395463668289</c:v>
                </c:pt>
                <c:pt idx="104">
                  <c:v>7.7667560016752484</c:v>
                </c:pt>
                <c:pt idx="105">
                  <c:v>7.7922740629996898</c:v>
                </c:pt>
                <c:pt idx="106">
                  <c:v>8.5748261455518584</c:v>
                </c:pt>
                <c:pt idx="107">
                  <c:v>8.6725324116357374</c:v>
                </c:pt>
                <c:pt idx="108">
                  <c:v>7.6841856931747605</c:v>
                </c:pt>
                <c:pt idx="109">
                  <c:v>7.7867793050766094</c:v>
                </c:pt>
                <c:pt idx="110">
                  <c:v>7.9237760063012068</c:v>
                </c:pt>
                <c:pt idx="111">
                  <c:v>8.3949704200836752</c:v>
                </c:pt>
                <c:pt idx="112">
                  <c:v>7.3677436111947134</c:v>
                </c:pt>
                <c:pt idx="113">
                  <c:v>7.6709181653857277</c:v>
                </c:pt>
                <c:pt idx="114">
                  <c:v>7.515803085804218</c:v>
                </c:pt>
                <c:pt idx="115">
                  <c:v>8.0805094225297225</c:v>
                </c:pt>
                <c:pt idx="116">
                  <c:v>7.5670119345884004</c:v>
                </c:pt>
                <c:pt idx="117">
                  <c:v>7.7661520141942164</c:v>
                </c:pt>
                <c:pt idx="118">
                  <c:v>7.4809503981702017</c:v>
                </c:pt>
                <c:pt idx="119">
                  <c:v>8.3168383266445804</c:v>
                </c:pt>
                <c:pt idx="120">
                  <c:v>7.2664124396248111</c:v>
                </c:pt>
                <c:pt idx="121">
                  <c:v>7.9531495146599491</c:v>
                </c:pt>
                <c:pt idx="122">
                  <c:v>7.8525752917383143</c:v>
                </c:pt>
                <c:pt idx="123">
                  <c:v>7.6717612839004756</c:v>
                </c:pt>
                <c:pt idx="124">
                  <c:v>7.5785944895650372</c:v>
                </c:pt>
                <c:pt idx="125">
                  <c:v>7.809172387944515</c:v>
                </c:pt>
                <c:pt idx="126">
                  <c:v>8.0281600427513542</c:v>
                </c:pt>
                <c:pt idx="127">
                  <c:v>8.0709603146427078</c:v>
                </c:pt>
                <c:pt idx="128">
                  <c:v>8.0913693430674325</c:v>
                </c:pt>
                <c:pt idx="129">
                  <c:v>7.4663228865271378</c:v>
                </c:pt>
                <c:pt idx="130">
                  <c:v>7.6074601883849136</c:v>
                </c:pt>
                <c:pt idx="131">
                  <c:v>7.5427146980334969</c:v>
                </c:pt>
                <c:pt idx="132">
                  <c:v>7.9230363971651547</c:v>
                </c:pt>
                <c:pt idx="133">
                  <c:v>8.816550983865092</c:v>
                </c:pt>
                <c:pt idx="134">
                  <c:v>9.7571978769596139</c:v>
                </c:pt>
                <c:pt idx="135">
                  <c:v>9.7895865774148714</c:v>
                </c:pt>
                <c:pt idx="136">
                  <c:v>7.6360512566946479</c:v>
                </c:pt>
                <c:pt idx="137">
                  <c:v>10.034884610662766</c:v>
                </c:pt>
                <c:pt idx="138">
                  <c:v>7.9790703607990716</c:v>
                </c:pt>
                <c:pt idx="139">
                  <c:v>9.1146720039715401</c:v>
                </c:pt>
                <c:pt idx="140">
                  <c:v>7.8065717886003538</c:v>
                </c:pt>
                <c:pt idx="141">
                  <c:v>7.6155856826991881</c:v>
                </c:pt>
                <c:pt idx="142">
                  <c:v>7.6482304456134891</c:v>
                </c:pt>
                <c:pt idx="143">
                  <c:v>7.7565188543558818</c:v>
                </c:pt>
                <c:pt idx="144">
                  <c:v>8.9996993290113423</c:v>
                </c:pt>
                <c:pt idx="145">
                  <c:v>7.9651546634515702</c:v>
                </c:pt>
                <c:pt idx="146">
                  <c:v>7.6956440267428761</c:v>
                </c:pt>
                <c:pt idx="147">
                  <c:v>7.1757438280431041</c:v>
                </c:pt>
                <c:pt idx="148">
                  <c:v>7.3635880991059217</c:v>
                </c:pt>
                <c:pt idx="149">
                  <c:v>8.7082565314530953</c:v>
                </c:pt>
                <c:pt idx="150">
                  <c:v>7.8007993242951672</c:v>
                </c:pt>
                <c:pt idx="151">
                  <c:v>10.070979944369871</c:v>
                </c:pt>
                <c:pt idx="152">
                  <c:v>8.444034529841149</c:v>
                </c:pt>
                <c:pt idx="153">
                  <c:v>9.4059965577817923</c:v>
                </c:pt>
                <c:pt idx="154">
                  <c:v>9.8801928494720315</c:v>
                </c:pt>
                <c:pt idx="155">
                  <c:v>9.705037746479185</c:v>
                </c:pt>
              </c:numCache>
            </c:numRef>
          </c:xVal>
          <c:yVal>
            <c:numRef>
              <c:f>'Regr-SalesFre'!$G$115:$G$270</c:f>
              <c:numCache>
                <c:formatCode>0.000</c:formatCode>
                <c:ptCount val="156"/>
                <c:pt idx="0">
                  <c:v>-0.48171177016555233</c:v>
                </c:pt>
                <c:pt idx="1">
                  <c:v>0.20945290279705578</c:v>
                </c:pt>
                <c:pt idx="2">
                  <c:v>2.3292145137912366</c:v>
                </c:pt>
                <c:pt idx="3">
                  <c:v>1.8881942492110753</c:v>
                </c:pt>
                <c:pt idx="4">
                  <c:v>-0.3004271580032748</c:v>
                </c:pt>
                <c:pt idx="5">
                  <c:v>-0.72164282264689839</c:v>
                </c:pt>
                <c:pt idx="6">
                  <c:v>-0.45282665234418029</c:v>
                </c:pt>
                <c:pt idx="7">
                  <c:v>-0.35020340049419735</c:v>
                </c:pt>
                <c:pt idx="8">
                  <c:v>0.45317707542351177</c:v>
                </c:pt>
                <c:pt idx="9">
                  <c:v>-0.53862443285503281</c:v>
                </c:pt>
                <c:pt idx="10">
                  <c:v>0.53365318860815469</c:v>
                </c:pt>
                <c:pt idx="11">
                  <c:v>1.8553079093519886</c:v>
                </c:pt>
                <c:pt idx="12">
                  <c:v>1.234462070541519</c:v>
                </c:pt>
                <c:pt idx="13">
                  <c:v>-0.63366603279308376</c:v>
                </c:pt>
                <c:pt idx="14">
                  <c:v>-9.0039237970965802E-2</c:v>
                </c:pt>
                <c:pt idx="15">
                  <c:v>-0.17511743833143342</c:v>
                </c:pt>
                <c:pt idx="16">
                  <c:v>-0.87090913552923366</c:v>
                </c:pt>
                <c:pt idx="17">
                  <c:v>-0.5803696347073255</c:v>
                </c:pt>
                <c:pt idx="18">
                  <c:v>-0.47211367632225854</c:v>
                </c:pt>
                <c:pt idx="19">
                  <c:v>-0.66779526875076833</c:v>
                </c:pt>
                <c:pt idx="20">
                  <c:v>-0.68884565359851835</c:v>
                </c:pt>
                <c:pt idx="21">
                  <c:v>-1.4935298627640905</c:v>
                </c:pt>
                <c:pt idx="22">
                  <c:v>0.70161162177305358</c:v>
                </c:pt>
                <c:pt idx="23">
                  <c:v>1.4045724875559635</c:v>
                </c:pt>
                <c:pt idx="24">
                  <c:v>0.77414134705226822</c:v>
                </c:pt>
                <c:pt idx="25">
                  <c:v>-0.91582073457476065</c:v>
                </c:pt>
                <c:pt idx="26">
                  <c:v>-1.0762351426671126</c:v>
                </c:pt>
                <c:pt idx="27">
                  <c:v>-1.0841343896948505</c:v>
                </c:pt>
                <c:pt idx="28">
                  <c:v>-0.95902051516640374</c:v>
                </c:pt>
                <c:pt idx="29">
                  <c:v>-0.75443979612446921</c:v>
                </c:pt>
                <c:pt idx="30">
                  <c:v>-0.59503965060593134</c:v>
                </c:pt>
                <c:pt idx="31">
                  <c:v>-0.85797451767474509</c:v>
                </c:pt>
                <c:pt idx="32">
                  <c:v>-0.57829463189546793</c:v>
                </c:pt>
                <c:pt idx="33">
                  <c:v>-1.0631892660764537</c:v>
                </c:pt>
                <c:pt idx="34">
                  <c:v>-0.69539618702726058</c:v>
                </c:pt>
                <c:pt idx="35">
                  <c:v>1.6062778311269474</c:v>
                </c:pt>
                <c:pt idx="36">
                  <c:v>-0.14135944229799347</c:v>
                </c:pt>
                <c:pt idx="37">
                  <c:v>-1.3886184713596788</c:v>
                </c:pt>
                <c:pt idx="38">
                  <c:v>0.93554619970934461</c:v>
                </c:pt>
                <c:pt idx="39">
                  <c:v>-0.16748464095565088</c:v>
                </c:pt>
                <c:pt idx="40">
                  <c:v>-0.45058640760917229</c:v>
                </c:pt>
                <c:pt idx="41">
                  <c:v>-0.12897642959845995</c:v>
                </c:pt>
                <c:pt idx="42">
                  <c:v>-0.46201852313258518</c:v>
                </c:pt>
                <c:pt idx="43">
                  <c:v>-0.13747890021267084</c:v>
                </c:pt>
                <c:pt idx="44">
                  <c:v>-0.89149620586492384</c:v>
                </c:pt>
                <c:pt idx="45">
                  <c:v>-1.1145161883316546</c:v>
                </c:pt>
                <c:pt idx="46">
                  <c:v>-0.50707086642540111</c:v>
                </c:pt>
                <c:pt idx="47">
                  <c:v>-0.82989686432349741</c:v>
                </c:pt>
                <c:pt idx="48">
                  <c:v>-1.2282868298540426</c:v>
                </c:pt>
                <c:pt idx="49">
                  <c:v>-0.88836675829713396</c:v>
                </c:pt>
                <c:pt idx="50">
                  <c:v>-0.19993145893374153</c:v>
                </c:pt>
                <c:pt idx="51">
                  <c:v>0.66342932072677896</c:v>
                </c:pt>
                <c:pt idx="52">
                  <c:v>-1.3048192988587217</c:v>
                </c:pt>
                <c:pt idx="53">
                  <c:v>-0.79643130228106496</c:v>
                </c:pt>
                <c:pt idx="54">
                  <c:v>-5.6567884009844707E-2</c:v>
                </c:pt>
                <c:pt idx="55">
                  <c:v>-0.16193230319632204</c:v>
                </c:pt>
                <c:pt idx="56">
                  <c:v>-0.36758685418413795</c:v>
                </c:pt>
                <c:pt idx="57">
                  <c:v>-1.0001246958935377</c:v>
                </c:pt>
                <c:pt idx="58">
                  <c:v>0.93265953455813977</c:v>
                </c:pt>
                <c:pt idx="59">
                  <c:v>0.67454745567035601</c:v>
                </c:pt>
                <c:pt idx="60">
                  <c:v>0.37100290985039636</c:v>
                </c:pt>
                <c:pt idx="61">
                  <c:v>-0.53304400120291706</c:v>
                </c:pt>
                <c:pt idx="62">
                  <c:v>-5.8854609765421791E-2</c:v>
                </c:pt>
                <c:pt idx="63">
                  <c:v>0.15637586760620062</c:v>
                </c:pt>
                <c:pt idx="64">
                  <c:v>0.42479082077559011</c:v>
                </c:pt>
                <c:pt idx="65">
                  <c:v>-0.91080617707008005</c:v>
                </c:pt>
                <c:pt idx="66">
                  <c:v>-0.84972161786677536</c:v>
                </c:pt>
                <c:pt idx="67">
                  <c:v>-0.78664195929790348</c:v>
                </c:pt>
                <c:pt idx="68">
                  <c:v>-0.63941510990387318</c:v>
                </c:pt>
                <c:pt idx="69">
                  <c:v>-0.85353150882399842</c:v>
                </c:pt>
                <c:pt idx="70">
                  <c:v>-0.86802931714391718</c:v>
                </c:pt>
                <c:pt idx="71">
                  <c:v>-0.30461762781574198</c:v>
                </c:pt>
                <c:pt idx="72">
                  <c:v>0.86442440747827198</c:v>
                </c:pt>
                <c:pt idx="73">
                  <c:v>0.41586477378250608</c:v>
                </c:pt>
                <c:pt idx="74">
                  <c:v>2.785733762843599</c:v>
                </c:pt>
                <c:pt idx="75">
                  <c:v>4.2949522995336409</c:v>
                </c:pt>
                <c:pt idx="76">
                  <c:v>3.623487478825413</c:v>
                </c:pt>
                <c:pt idx="77">
                  <c:v>0.65071653817048558</c:v>
                </c:pt>
                <c:pt idx="78">
                  <c:v>0.40159084802695078</c:v>
                </c:pt>
                <c:pt idx="79">
                  <c:v>0.14944232096903365</c:v>
                </c:pt>
                <c:pt idx="80">
                  <c:v>0.12409949689495728</c:v>
                </c:pt>
                <c:pt idx="81">
                  <c:v>-0.35084191507746026</c:v>
                </c:pt>
                <c:pt idx="82">
                  <c:v>-0.59262675234208628</c:v>
                </c:pt>
                <c:pt idx="83">
                  <c:v>-0.51442767619239627</c:v>
                </c:pt>
                <c:pt idx="84">
                  <c:v>-0.66448369522819584</c:v>
                </c:pt>
                <c:pt idx="85">
                  <c:v>-1.1405801347278939</c:v>
                </c:pt>
                <c:pt idx="86">
                  <c:v>-0.66425505922522687</c:v>
                </c:pt>
                <c:pt idx="87">
                  <c:v>-0.5287550895990778</c:v>
                </c:pt>
                <c:pt idx="88">
                  <c:v>-0.13042278867968765</c:v>
                </c:pt>
                <c:pt idx="89">
                  <c:v>0.16789384072211086</c:v>
                </c:pt>
                <c:pt idx="90">
                  <c:v>0.17344051440740679</c:v>
                </c:pt>
                <c:pt idx="91">
                  <c:v>-6.1093134275622046E-2</c:v>
                </c:pt>
                <c:pt idx="92">
                  <c:v>-0.61624441227357085</c:v>
                </c:pt>
                <c:pt idx="93">
                  <c:v>-0.44284351168621383</c:v>
                </c:pt>
                <c:pt idx="94">
                  <c:v>-1.1624406019329951</c:v>
                </c:pt>
                <c:pt idx="95">
                  <c:v>0.1273135160342096</c:v>
                </c:pt>
                <c:pt idx="96">
                  <c:v>2.1614001040017423</c:v>
                </c:pt>
                <c:pt idx="97">
                  <c:v>0.65644912797073929</c:v>
                </c:pt>
                <c:pt idx="98">
                  <c:v>1.247897708502395</c:v>
                </c:pt>
                <c:pt idx="99">
                  <c:v>0.90649561723988026</c:v>
                </c:pt>
                <c:pt idx="100">
                  <c:v>-1.2782197626000849E-2</c:v>
                </c:pt>
                <c:pt idx="101">
                  <c:v>0.3005482731522317</c:v>
                </c:pt>
                <c:pt idx="102">
                  <c:v>9.0249287445094376E-2</c:v>
                </c:pt>
                <c:pt idx="103">
                  <c:v>0.28510344091060008</c:v>
                </c:pt>
                <c:pt idx="104">
                  <c:v>-0.20014866571888779</c:v>
                </c:pt>
                <c:pt idx="105">
                  <c:v>0.63233694392355833</c:v>
                </c:pt>
                <c:pt idx="106">
                  <c:v>1.8678413947532453</c:v>
                </c:pt>
                <c:pt idx="107">
                  <c:v>1.3230512579434646</c:v>
                </c:pt>
                <c:pt idx="108">
                  <c:v>0.28347926061036266</c:v>
                </c:pt>
                <c:pt idx="109">
                  <c:v>0.12299896731474798</c:v>
                </c:pt>
                <c:pt idx="110">
                  <c:v>-0.55061567852687998</c:v>
                </c:pt>
                <c:pt idx="111">
                  <c:v>0.40047205226841881</c:v>
                </c:pt>
                <c:pt idx="112">
                  <c:v>-0.32263673887206151</c:v>
                </c:pt>
                <c:pt idx="113">
                  <c:v>-1.0726875247526826</c:v>
                </c:pt>
                <c:pt idx="114">
                  <c:v>-0.25155613518948977</c:v>
                </c:pt>
                <c:pt idx="115">
                  <c:v>7.5422983990179146E-2</c:v>
                </c:pt>
                <c:pt idx="116">
                  <c:v>0.45727076405243366</c:v>
                </c:pt>
                <c:pt idx="117">
                  <c:v>-0.20447875809179808</c:v>
                </c:pt>
                <c:pt idx="118">
                  <c:v>0.16885075707606401</c:v>
                </c:pt>
                <c:pt idx="119">
                  <c:v>0.34929502051759104</c:v>
                </c:pt>
                <c:pt idx="120">
                  <c:v>0.7067468344198462</c:v>
                </c:pt>
                <c:pt idx="121">
                  <c:v>2.9920884793420623</c:v>
                </c:pt>
                <c:pt idx="122">
                  <c:v>-0.19506940680500665</c:v>
                </c:pt>
                <c:pt idx="123">
                  <c:v>-0.28768749624381801</c:v>
                </c:pt>
                <c:pt idx="124">
                  <c:v>-0.13001289361324428</c:v>
                </c:pt>
                <c:pt idx="125">
                  <c:v>-0.6502282234241874</c:v>
                </c:pt>
                <c:pt idx="126">
                  <c:v>1.4394493576620475</c:v>
                </c:pt>
                <c:pt idx="127">
                  <c:v>2.9920837610785305</c:v>
                </c:pt>
                <c:pt idx="128">
                  <c:v>2.3703439194085947</c:v>
                </c:pt>
                <c:pt idx="129">
                  <c:v>0.29404488818327618</c:v>
                </c:pt>
                <c:pt idx="130">
                  <c:v>-0.85023272278567275</c:v>
                </c:pt>
                <c:pt idx="131">
                  <c:v>-0.12946385072369374</c:v>
                </c:pt>
                <c:pt idx="132">
                  <c:v>-1.3491273034804494</c:v>
                </c:pt>
                <c:pt idx="133">
                  <c:v>0.36477315922396963</c:v>
                </c:pt>
                <c:pt idx="134">
                  <c:v>0.61847765090370432</c:v>
                </c:pt>
                <c:pt idx="135">
                  <c:v>-0.2181506869468666</c:v>
                </c:pt>
                <c:pt idx="136">
                  <c:v>-0.67175410696722693</c:v>
                </c:pt>
                <c:pt idx="137">
                  <c:v>-5.8748469057672406E-2</c:v>
                </c:pt>
                <c:pt idx="138">
                  <c:v>-0.31395466599271843</c:v>
                </c:pt>
                <c:pt idx="139">
                  <c:v>-0.52834349156829041</c:v>
                </c:pt>
                <c:pt idx="140">
                  <c:v>-0.2936182431007015</c:v>
                </c:pt>
                <c:pt idx="141">
                  <c:v>-0.29078746473836259</c:v>
                </c:pt>
                <c:pt idx="142">
                  <c:v>-0.65996167321265009</c:v>
                </c:pt>
                <c:pt idx="143">
                  <c:v>-0.64605595603098431</c:v>
                </c:pt>
                <c:pt idx="144">
                  <c:v>-0.28401286182374685</c:v>
                </c:pt>
                <c:pt idx="145">
                  <c:v>-0.5851491642321236</c:v>
                </c:pt>
                <c:pt idx="146">
                  <c:v>-0.3009009254857965</c:v>
                </c:pt>
                <c:pt idx="147">
                  <c:v>0.22387444130357184</c:v>
                </c:pt>
                <c:pt idx="148">
                  <c:v>0.44515117260581866</c:v>
                </c:pt>
                <c:pt idx="149">
                  <c:v>-0.45686416699228494</c:v>
                </c:pt>
                <c:pt idx="150">
                  <c:v>-0.25753304688701889</c:v>
                </c:pt>
                <c:pt idx="151">
                  <c:v>-0.89729451345575029</c:v>
                </c:pt>
                <c:pt idx="152">
                  <c:v>6.1862359235943095E-3</c:v>
                </c:pt>
                <c:pt idx="153">
                  <c:v>-0.75292025158416598</c:v>
                </c:pt>
                <c:pt idx="154">
                  <c:v>0.42557147596212808</c:v>
                </c:pt>
                <c:pt idx="155">
                  <c:v>0.28203987695727167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4A-2D4A-B2D0-31E8AE651779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8.2002892909070404</c:v>
              </c:pt>
            </c:numLit>
          </c:xVal>
          <c:yVal>
            <c:numLit>
              <c:formatCode>General</c:formatCode>
              <c:ptCount val="1"/>
              <c:pt idx="0">
                <c:v>0.20945290279705578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E4A-2D4A-B2D0-31E8AE651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575983"/>
        <c:axId val="1844577663"/>
      </c:scatterChart>
      <c:valAx>
        <c:axId val="1844575983"/>
        <c:scaling>
          <c:orientation val="minMax"/>
          <c:max val="11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Pred(Ln(UVolFre))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44577663"/>
        <c:crosses val="autoZero"/>
        <c:crossBetween val="midCat"/>
      </c:valAx>
      <c:valAx>
        <c:axId val="1844577663"/>
        <c:scaling>
          <c:orientation val="minMax"/>
          <c:max val="5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4457598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Pred(Ln(UVolFre)) - Ln(UVolFre)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'Regr-SalesFre'!$E$115:$E$270</c:f>
              <c:numCache>
                <c:formatCode>0.000</c:formatCode>
                <c:ptCount val="156"/>
                <c:pt idx="0">
                  <c:v>8.0636985665137946</c:v>
                </c:pt>
                <c:pt idx="1">
                  <c:v>8.2002892909070404</c:v>
                </c:pt>
                <c:pt idx="2">
                  <c:v>8.5244728864944932</c:v>
                </c:pt>
                <c:pt idx="3">
                  <c:v>8.3863216240080245</c:v>
                </c:pt>
                <c:pt idx="4">
                  <c:v>8.0521296087173031</c:v>
                </c:pt>
                <c:pt idx="5">
                  <c:v>7.9272354241683214</c:v>
                </c:pt>
                <c:pt idx="6">
                  <c:v>8.0489190190428754</c:v>
                </c:pt>
                <c:pt idx="7">
                  <c:v>7.8803875331157673</c:v>
                </c:pt>
                <c:pt idx="8">
                  <c:v>7.8542270023798286</c:v>
                </c:pt>
                <c:pt idx="9">
                  <c:v>8.0720653276721421</c:v>
                </c:pt>
                <c:pt idx="10">
                  <c:v>7.9588557781798785</c:v>
                </c:pt>
                <c:pt idx="11">
                  <c:v>8.3521610395435086</c:v>
                </c:pt>
                <c:pt idx="12">
                  <c:v>8.4214686942942834</c:v>
                </c:pt>
                <c:pt idx="13">
                  <c:v>7.996983585119537</c:v>
                </c:pt>
                <c:pt idx="14">
                  <c:v>8.0175010605631627</c:v>
                </c:pt>
                <c:pt idx="15">
                  <c:v>8.1545526205290138</c:v>
                </c:pt>
                <c:pt idx="16">
                  <c:v>8.0972106130972108</c:v>
                </c:pt>
                <c:pt idx="17">
                  <c:v>8.0187474832086778</c:v>
                </c:pt>
                <c:pt idx="18">
                  <c:v>8.0636087659970705</c:v>
                </c:pt>
                <c:pt idx="19">
                  <c:v>7.7969869612641176</c:v>
                </c:pt>
                <c:pt idx="20">
                  <c:v>7.9341788926876378</c:v>
                </c:pt>
                <c:pt idx="21">
                  <c:v>8.097865610410512</c:v>
                </c:pt>
                <c:pt idx="22">
                  <c:v>8.3998925090524725</c:v>
                </c:pt>
                <c:pt idx="23">
                  <c:v>8.9186333066255123</c:v>
                </c:pt>
                <c:pt idx="24">
                  <c:v>8.928905244473599</c:v>
                </c:pt>
                <c:pt idx="25">
                  <c:v>7.7871343490185643</c:v>
                </c:pt>
                <c:pt idx="26">
                  <c:v>8.1495739379105281</c:v>
                </c:pt>
                <c:pt idx="27">
                  <c:v>8.0580048918846305</c:v>
                </c:pt>
                <c:pt idx="28">
                  <c:v>8.0895991383564461</c:v>
                </c:pt>
                <c:pt idx="29">
                  <c:v>8.0776784014562146</c:v>
                </c:pt>
                <c:pt idx="30">
                  <c:v>7.8978360553714255</c:v>
                </c:pt>
                <c:pt idx="31">
                  <c:v>7.9362040516472918</c:v>
                </c:pt>
                <c:pt idx="32">
                  <c:v>8.865679638476383</c:v>
                </c:pt>
                <c:pt idx="33">
                  <c:v>8.1459003027492347</c:v>
                </c:pt>
                <c:pt idx="34">
                  <c:v>7.9983350753834053</c:v>
                </c:pt>
                <c:pt idx="35">
                  <c:v>8.3568679259773724</c:v>
                </c:pt>
                <c:pt idx="36">
                  <c:v>10.14446157122689</c:v>
                </c:pt>
                <c:pt idx="37">
                  <c:v>10.671038861996047</c:v>
                </c:pt>
                <c:pt idx="38">
                  <c:v>7.8502463815710621</c:v>
                </c:pt>
                <c:pt idx="39">
                  <c:v>8.0836955999530851</c:v>
                </c:pt>
                <c:pt idx="40">
                  <c:v>8.3688226138563504</c:v>
                </c:pt>
                <c:pt idx="41">
                  <c:v>8.3428964010698525</c:v>
                </c:pt>
                <c:pt idx="42">
                  <c:v>8.2602793987303649</c:v>
                </c:pt>
                <c:pt idx="43">
                  <c:v>7.7719957119236174</c:v>
                </c:pt>
                <c:pt idx="44">
                  <c:v>8.0890342590961168</c:v>
                </c:pt>
                <c:pt idx="45">
                  <c:v>8.3332819191506982</c:v>
                </c:pt>
                <c:pt idx="46">
                  <c:v>7.602877410471935</c:v>
                </c:pt>
                <c:pt idx="47">
                  <c:v>8.1517249182815128</c:v>
                </c:pt>
                <c:pt idx="48">
                  <c:v>8.5216721069395707</c:v>
                </c:pt>
                <c:pt idx="49">
                  <c:v>8.2725754587116729</c:v>
                </c:pt>
                <c:pt idx="50">
                  <c:v>8.3288717071157077</c:v>
                </c:pt>
                <c:pt idx="51">
                  <c:v>9.2186511770991189</c:v>
                </c:pt>
                <c:pt idx="52">
                  <c:v>8.7016150735129152</c:v>
                </c:pt>
                <c:pt idx="53">
                  <c:v>8.3723581135621981</c:v>
                </c:pt>
                <c:pt idx="54">
                  <c:v>7.919900608015114</c:v>
                </c:pt>
                <c:pt idx="55">
                  <c:v>7.8915846434255785</c:v>
                </c:pt>
                <c:pt idx="56">
                  <c:v>8.9269775883003142</c:v>
                </c:pt>
                <c:pt idx="57">
                  <c:v>8.5492734993658619</c:v>
                </c:pt>
                <c:pt idx="58">
                  <c:v>8.8531325138742964</c:v>
                </c:pt>
                <c:pt idx="59">
                  <c:v>8.9688360632284692</c:v>
                </c:pt>
                <c:pt idx="60">
                  <c:v>8.8147156943443541</c:v>
                </c:pt>
                <c:pt idx="61">
                  <c:v>7.8850776017575361</c:v>
                </c:pt>
                <c:pt idx="62">
                  <c:v>7.5818261482176972</c:v>
                </c:pt>
                <c:pt idx="63">
                  <c:v>7.1241369973697228</c:v>
                </c:pt>
                <c:pt idx="64">
                  <c:v>7.106479328804272</c:v>
                </c:pt>
                <c:pt idx="65">
                  <c:v>7.7398153371502492</c:v>
                </c:pt>
                <c:pt idx="66">
                  <c:v>7.8487443861796322</c:v>
                </c:pt>
                <c:pt idx="67">
                  <c:v>8.8558994054689357</c:v>
                </c:pt>
                <c:pt idx="68">
                  <c:v>7.9498312500304413</c:v>
                </c:pt>
                <c:pt idx="69">
                  <c:v>7.5579759428491382</c:v>
                </c:pt>
                <c:pt idx="70">
                  <c:v>7.9424574033795237</c:v>
                </c:pt>
                <c:pt idx="71">
                  <c:v>7.3457848097221472</c:v>
                </c:pt>
                <c:pt idx="72">
                  <c:v>7.0587851032003455</c:v>
                </c:pt>
                <c:pt idx="73">
                  <c:v>7.2687716238382141</c:v>
                </c:pt>
                <c:pt idx="74">
                  <c:v>7.846539051136789</c:v>
                </c:pt>
                <c:pt idx="75">
                  <c:v>7.9816402936608419</c:v>
                </c:pt>
                <c:pt idx="76">
                  <c:v>8.0820343455305181</c:v>
                </c:pt>
                <c:pt idx="77">
                  <c:v>7.4355834398426541</c:v>
                </c:pt>
                <c:pt idx="78">
                  <c:v>7.4565169706278356</c:v>
                </c:pt>
                <c:pt idx="79">
                  <c:v>7.5990813714920309</c:v>
                </c:pt>
                <c:pt idx="80">
                  <c:v>7.7271984745153315</c:v>
                </c:pt>
                <c:pt idx="81">
                  <c:v>9.0141422808050695</c:v>
                </c:pt>
                <c:pt idx="82">
                  <c:v>8.3274347487913634</c:v>
                </c:pt>
                <c:pt idx="83">
                  <c:v>7.859607718578264</c:v>
                </c:pt>
                <c:pt idx="84">
                  <c:v>7.8575149049118735</c:v>
                </c:pt>
                <c:pt idx="85">
                  <c:v>7.9939437564825857</c:v>
                </c:pt>
                <c:pt idx="86">
                  <c:v>8.8980202466679845</c:v>
                </c:pt>
                <c:pt idx="87">
                  <c:v>7.7749378313124131</c:v>
                </c:pt>
                <c:pt idx="88">
                  <c:v>7.3958267095549051</c:v>
                </c:pt>
                <c:pt idx="89">
                  <c:v>7.2159166863475512</c:v>
                </c:pt>
                <c:pt idx="90">
                  <c:v>7.2097013985425917</c:v>
                </c:pt>
                <c:pt idx="91">
                  <c:v>8.9914702664704915</c:v>
                </c:pt>
                <c:pt idx="92">
                  <c:v>8.0415242791880619</c:v>
                </c:pt>
                <c:pt idx="93">
                  <c:v>7.7908266699505822</c:v>
                </c:pt>
                <c:pt idx="94">
                  <c:v>7.8699542471096775</c:v>
                </c:pt>
                <c:pt idx="95">
                  <c:v>8.4606143594563328</c:v>
                </c:pt>
                <c:pt idx="96">
                  <c:v>6.6793891312953821</c:v>
                </c:pt>
                <c:pt idx="97">
                  <c:v>9.2469170431618313</c:v>
                </c:pt>
                <c:pt idx="98">
                  <c:v>9.9489099162853769</c:v>
                </c:pt>
                <c:pt idx="99">
                  <c:v>9.7249182297189645</c:v>
                </c:pt>
                <c:pt idx="100">
                  <c:v>7.3867960108954982</c:v>
                </c:pt>
                <c:pt idx="101">
                  <c:v>7.515714764536229</c:v>
                </c:pt>
                <c:pt idx="102">
                  <c:v>7.4499198071004669</c:v>
                </c:pt>
                <c:pt idx="103">
                  <c:v>7.397395463668289</c:v>
                </c:pt>
                <c:pt idx="104">
                  <c:v>7.7667560016752484</c:v>
                </c:pt>
                <c:pt idx="105">
                  <c:v>7.7922740629996898</c:v>
                </c:pt>
                <c:pt idx="106">
                  <c:v>8.5748261455518584</c:v>
                </c:pt>
                <c:pt idx="107">
                  <c:v>8.6725324116357374</c:v>
                </c:pt>
                <c:pt idx="108">
                  <c:v>7.6841856931747605</c:v>
                </c:pt>
                <c:pt idx="109">
                  <c:v>7.7867793050766094</c:v>
                </c:pt>
                <c:pt idx="110">
                  <c:v>7.9237760063012068</c:v>
                </c:pt>
                <c:pt idx="111">
                  <c:v>8.3949704200836752</c:v>
                </c:pt>
                <c:pt idx="112">
                  <c:v>7.3677436111947134</c:v>
                </c:pt>
                <c:pt idx="113">
                  <c:v>7.6709181653857277</c:v>
                </c:pt>
                <c:pt idx="114">
                  <c:v>7.515803085804218</c:v>
                </c:pt>
                <c:pt idx="115">
                  <c:v>8.0805094225297225</c:v>
                </c:pt>
                <c:pt idx="116">
                  <c:v>7.5670119345884004</c:v>
                </c:pt>
                <c:pt idx="117">
                  <c:v>7.7661520141942164</c:v>
                </c:pt>
                <c:pt idx="118">
                  <c:v>7.4809503981702017</c:v>
                </c:pt>
                <c:pt idx="119">
                  <c:v>8.3168383266445804</c:v>
                </c:pt>
                <c:pt idx="120">
                  <c:v>7.2664124396248111</c:v>
                </c:pt>
                <c:pt idx="121">
                  <c:v>7.9531495146599491</c:v>
                </c:pt>
                <c:pt idx="122">
                  <c:v>7.8525752917383143</c:v>
                </c:pt>
                <c:pt idx="123">
                  <c:v>7.6717612839004756</c:v>
                </c:pt>
                <c:pt idx="124">
                  <c:v>7.5785944895650372</c:v>
                </c:pt>
                <c:pt idx="125">
                  <c:v>7.809172387944515</c:v>
                </c:pt>
                <c:pt idx="126">
                  <c:v>8.0281600427513542</c:v>
                </c:pt>
                <c:pt idx="127">
                  <c:v>8.0709603146427078</c:v>
                </c:pt>
                <c:pt idx="128">
                  <c:v>8.0913693430674325</c:v>
                </c:pt>
                <c:pt idx="129">
                  <c:v>7.4663228865271378</c:v>
                </c:pt>
                <c:pt idx="130">
                  <c:v>7.6074601883849136</c:v>
                </c:pt>
                <c:pt idx="131">
                  <c:v>7.5427146980334969</c:v>
                </c:pt>
                <c:pt idx="132">
                  <c:v>7.9230363971651547</c:v>
                </c:pt>
                <c:pt idx="133">
                  <c:v>8.816550983865092</c:v>
                </c:pt>
                <c:pt idx="134">
                  <c:v>9.7571978769596139</c:v>
                </c:pt>
                <c:pt idx="135">
                  <c:v>9.7895865774148714</c:v>
                </c:pt>
                <c:pt idx="136">
                  <c:v>7.6360512566946479</c:v>
                </c:pt>
                <c:pt idx="137">
                  <c:v>10.034884610662766</c:v>
                </c:pt>
                <c:pt idx="138">
                  <c:v>7.9790703607990716</c:v>
                </c:pt>
                <c:pt idx="139">
                  <c:v>9.1146720039715401</c:v>
                </c:pt>
                <c:pt idx="140">
                  <c:v>7.8065717886003538</c:v>
                </c:pt>
                <c:pt idx="141">
                  <c:v>7.6155856826991881</c:v>
                </c:pt>
                <c:pt idx="142">
                  <c:v>7.6482304456134891</c:v>
                </c:pt>
                <c:pt idx="143">
                  <c:v>7.7565188543558818</c:v>
                </c:pt>
                <c:pt idx="144">
                  <c:v>8.9996993290113423</c:v>
                </c:pt>
                <c:pt idx="145">
                  <c:v>7.9651546634515702</c:v>
                </c:pt>
                <c:pt idx="146">
                  <c:v>7.6956440267428761</c:v>
                </c:pt>
                <c:pt idx="147">
                  <c:v>7.1757438280431041</c:v>
                </c:pt>
                <c:pt idx="148">
                  <c:v>7.3635880991059217</c:v>
                </c:pt>
                <c:pt idx="149">
                  <c:v>8.7082565314530953</c:v>
                </c:pt>
                <c:pt idx="150">
                  <c:v>7.8007993242951672</c:v>
                </c:pt>
                <c:pt idx="151">
                  <c:v>10.070979944369871</c:v>
                </c:pt>
                <c:pt idx="152">
                  <c:v>8.444034529841149</c:v>
                </c:pt>
                <c:pt idx="153">
                  <c:v>9.4059965577817923</c:v>
                </c:pt>
                <c:pt idx="154">
                  <c:v>9.8801928494720315</c:v>
                </c:pt>
                <c:pt idx="155">
                  <c:v>9.705037746479185</c:v>
                </c:pt>
              </c:numCache>
            </c:numRef>
          </c:xVal>
          <c:yVal>
            <c:numRef>
              <c:f>'Regr-SalesFre'!$D$115:$D$270</c:f>
              <c:numCache>
                <c:formatCode>0.000</c:formatCode>
                <c:ptCount val="156"/>
                <c:pt idx="0">
                  <c:v>7.8172227855081662</c:v>
                </c:pt>
                <c:pt idx="1">
                  <c:v>8.3074593270119461</c:v>
                </c:pt>
                <c:pt idx="2">
                  <c:v>9.7162539513811534</c:v>
                </c:pt>
                <c:pt idx="3">
                  <c:v>9.3524473886010124</c:v>
                </c:pt>
                <c:pt idx="4">
                  <c:v>7.8984110928115987</c:v>
                </c:pt>
                <c:pt idx="5">
                  <c:v>7.5579949585308057</c:v>
                </c:pt>
                <c:pt idx="6">
                  <c:v>7.8172227855081662</c:v>
                </c:pt>
                <c:pt idx="7">
                  <c:v>7.7012001808574464</c:v>
                </c:pt>
                <c:pt idx="8">
                  <c:v>8.0861025356691005</c:v>
                </c:pt>
                <c:pt idx="9">
                  <c:v>7.796469243086058</c:v>
                </c:pt>
                <c:pt idx="10">
                  <c:v>8.2319082435641775</c:v>
                </c:pt>
                <c:pt idx="11">
                  <c:v>9.3014599653436658</c:v>
                </c:pt>
                <c:pt idx="12">
                  <c:v>9.0531015955496912</c:v>
                </c:pt>
                <c:pt idx="13">
                  <c:v>7.6727578966425103</c:v>
                </c:pt>
                <c:pt idx="14">
                  <c:v>7.9714309977693505</c:v>
                </c:pt>
                <c:pt idx="15">
                  <c:v>8.0649508917491435</c:v>
                </c:pt>
                <c:pt idx="16">
                  <c:v>7.6515955738576009</c:v>
                </c:pt>
                <c:pt idx="17">
                  <c:v>7.7217917768175353</c:v>
                </c:pt>
                <c:pt idx="18">
                  <c:v>7.8220440081856193</c:v>
                </c:pt>
                <c:pt idx="19">
                  <c:v>7.4552984856832909</c:v>
                </c:pt>
                <c:pt idx="20">
                  <c:v>7.581719640125308</c:v>
                </c:pt>
                <c:pt idx="21">
                  <c:v>7.333676395657684</c:v>
                </c:pt>
                <c:pt idx="22">
                  <c:v>8.7588836800170249</c:v>
                </c:pt>
                <c:pt idx="23">
                  <c:v>9.6373060115303488</c:v>
                </c:pt>
                <c:pt idx="24">
                  <c:v>9.3250074469543094</c:v>
                </c:pt>
                <c:pt idx="25">
                  <c:v>7.3185395485679017</c:v>
                </c:pt>
                <c:pt idx="26">
                  <c:v>7.5989004568714096</c:v>
                </c:pt>
                <c:pt idx="27">
                  <c:v>7.5032896306750816</c:v>
                </c:pt>
                <c:pt idx="28">
                  <c:v>7.5989004568714096</c:v>
                </c:pt>
                <c:pt idx="29">
                  <c:v>7.6916568228105469</c:v>
                </c:pt>
                <c:pt idx="30">
                  <c:v>7.5933741931212904</c:v>
                </c:pt>
                <c:pt idx="31">
                  <c:v>7.4972072232033176</c:v>
                </c:pt>
                <c:pt idx="32">
                  <c:v>8.5697856415354074</c:v>
                </c:pt>
                <c:pt idx="33">
                  <c:v>7.6019019598751658</c:v>
                </c:pt>
                <c:pt idx="34">
                  <c:v>7.642524134232902</c:v>
                </c:pt>
                <c:pt idx="35">
                  <c:v>9.1787465003850048</c:v>
                </c:pt>
                <c:pt idx="36">
                  <c:v>10.072132678513839</c:v>
                </c:pt>
                <c:pt idx="37">
                  <c:v>9.9605292929033258</c:v>
                </c:pt>
                <c:pt idx="38">
                  <c:v>8.3289340419555291</c:v>
                </c:pt>
                <c:pt idx="39">
                  <c:v>7.9979993179797297</c:v>
                </c:pt>
                <c:pt idx="40">
                  <c:v>8.1382726385301858</c:v>
                </c:pt>
                <c:pt idx="41">
                  <c:v>8.2769034812670572</c:v>
                </c:pt>
                <c:pt idx="42">
                  <c:v>8.0238799927348783</c:v>
                </c:pt>
                <c:pt idx="43">
                  <c:v>7.7016523626422257</c:v>
                </c:pt>
                <c:pt idx="44">
                  <c:v>7.6328855053951328</c:v>
                </c:pt>
                <c:pt idx="45">
                  <c:v>7.7630213090185176</c:v>
                </c:pt>
                <c:pt idx="46">
                  <c:v>7.3434262291473669</c:v>
                </c:pt>
                <c:pt idx="47">
                  <c:v>7.7270944847798413</c:v>
                </c:pt>
                <c:pt idx="48">
                  <c:v>7.8931988695446087</c:v>
                </c:pt>
                <c:pt idx="49">
                  <c:v>7.8180279385307294</c:v>
                </c:pt>
                <c:pt idx="50">
                  <c:v>8.2265734749771138</c:v>
                </c:pt>
                <c:pt idx="51">
                  <c:v>9.5581057432849708</c:v>
                </c:pt>
                <c:pt idx="52">
                  <c:v>8.0339827346832209</c:v>
                </c:pt>
                <c:pt idx="53">
                  <c:v>7.9648508874473132</c:v>
                </c:pt>
                <c:pt idx="54">
                  <c:v>7.8909567161389189</c:v>
                </c:pt>
                <c:pt idx="55">
                  <c:v>7.8087293067443992</c:v>
                </c:pt>
                <c:pt idx="56">
                  <c:v>8.738895704934043</c:v>
                </c:pt>
                <c:pt idx="57">
                  <c:v>8.0375431851186967</c:v>
                </c:pt>
                <c:pt idx="58">
                  <c:v>9.3303431643708787</c:v>
                </c:pt>
                <c:pt idx="59">
                  <c:v>9.3139794067356689</c:v>
                </c:pt>
                <c:pt idx="60">
                  <c:v>9.0045454589965868</c:v>
                </c:pt>
                <c:pt idx="61">
                  <c:v>7.6123368371677458</c:v>
                </c:pt>
                <c:pt idx="62">
                  <c:v>7.5517122153513103</c:v>
                </c:pt>
                <c:pt idx="63">
                  <c:v>7.2041492920359396</c:v>
                </c:pt>
                <c:pt idx="64">
                  <c:v>7.3238305662023171</c:v>
                </c:pt>
                <c:pt idx="65">
                  <c:v>7.2737863178448947</c:v>
                </c:pt>
                <c:pt idx="66">
                  <c:v>7.4139702901904441</c:v>
                </c:pt>
                <c:pt idx="67">
                  <c:v>8.453401058328458</c:v>
                </c:pt>
                <c:pt idx="68">
                  <c:v>7.6226639513235952</c:v>
                </c:pt>
                <c:pt idx="69">
                  <c:v>7.1212524532445416</c:v>
                </c:pt>
                <c:pt idx="70">
                  <c:v>7.498315870766981</c:v>
                </c:pt>
                <c:pt idx="71">
                  <c:v>7.1899221707458079</c:v>
                </c:pt>
                <c:pt idx="72">
                  <c:v>7.5010821242598711</c:v>
                </c:pt>
                <c:pt idx="73">
                  <c:v>7.4815557019095165</c:v>
                </c:pt>
                <c:pt idx="74">
                  <c:v>9.2719057276343371</c:v>
                </c:pt>
                <c:pt idx="75">
                  <c:v>10.179223553969509</c:v>
                </c:pt>
                <c:pt idx="76">
                  <c:v>9.9360515434093912</c:v>
                </c:pt>
                <c:pt idx="77">
                  <c:v>7.7685333009260331</c:v>
                </c:pt>
                <c:pt idx="78">
                  <c:v>7.6619975589018932</c:v>
                </c:pt>
                <c:pt idx="79">
                  <c:v>7.6755460025378479</c:v>
                </c:pt>
                <c:pt idx="80">
                  <c:v>7.790696031174738</c:v>
                </c:pt>
                <c:pt idx="81">
                  <c:v>8.8346282220173666</c:v>
                </c:pt>
                <c:pt idx="82">
                  <c:v>8.024207485778577</c:v>
                </c:pt>
                <c:pt idx="83">
                  <c:v>7.5963923040641959</c:v>
                </c:pt>
                <c:pt idx="84">
                  <c:v>7.5175208506030309</c:v>
                </c:pt>
                <c:pt idx="85">
                  <c:v>7.410347097821024</c:v>
                </c:pt>
                <c:pt idx="86">
                  <c:v>8.5581431777451922</c:v>
                </c:pt>
                <c:pt idx="87">
                  <c:v>7.5043915591612382</c:v>
                </c:pt>
                <c:pt idx="88">
                  <c:v>7.329093736246592</c:v>
                </c:pt>
                <c:pt idx="89">
                  <c:v>7.3018223421379318</c:v>
                </c:pt>
                <c:pt idx="90">
                  <c:v>7.2984451015081468</c:v>
                </c:pt>
                <c:pt idx="91">
                  <c:v>8.9602109555769864</c:v>
                </c:pt>
                <c:pt idx="92">
                  <c:v>7.726212650507529</c:v>
                </c:pt>
                <c:pt idx="93">
                  <c:v>7.564238475170491</c:v>
                </c:pt>
                <c:pt idx="94">
                  <c:v>7.2751723194527713</c:v>
                </c:pt>
                <c:pt idx="95">
                  <c:v>8.525756422076725</c:v>
                </c:pt>
                <c:pt idx="96">
                  <c:v>7.7853051825398616</c:v>
                </c:pt>
                <c:pt idx="97">
                  <c:v>9.5828000784703633</c:v>
                </c:pt>
                <c:pt idx="98">
                  <c:v>10.587417383546464</c:v>
                </c:pt>
                <c:pt idx="99">
                  <c:v>10.188741679913241</c:v>
                </c:pt>
                <c:pt idx="100">
                  <c:v>7.3802557884264601</c:v>
                </c:pt>
                <c:pt idx="101">
                  <c:v>7.6694952510076941</c:v>
                </c:pt>
                <c:pt idx="102">
                  <c:v>7.4960973451759561</c:v>
                </c:pt>
                <c:pt idx="103">
                  <c:v>7.5432733467054458</c:v>
                </c:pt>
                <c:pt idx="104">
                  <c:v>7.6643466320986171</c:v>
                </c:pt>
                <c:pt idx="105">
                  <c:v>8.1158197012113273</c:v>
                </c:pt>
                <c:pt idx="106">
                  <c:v>9.5305380361046428</c:v>
                </c:pt>
                <c:pt idx="107">
                  <c:v>9.3494934333687585</c:v>
                </c:pt>
                <c:pt idx="108">
                  <c:v>7.8292325375435921</c:v>
                </c:pt>
                <c:pt idx="109">
                  <c:v>7.8497137576048699</c:v>
                </c:pt>
                <c:pt idx="110">
                  <c:v>7.6420444028732577</c:v>
                </c:pt>
                <c:pt idx="111">
                  <c:v>8.5998785580348454</c:v>
                </c:pt>
                <c:pt idx="112">
                  <c:v>7.2026611965232377</c:v>
                </c:pt>
                <c:pt idx="113">
                  <c:v>7.1220598816291423</c:v>
                </c:pt>
                <c:pt idx="114">
                  <c:v>7.3870902356567569</c:v>
                </c:pt>
                <c:pt idx="115">
                  <c:v>8.119100837637486</c:v>
                </c:pt>
                <c:pt idx="116">
                  <c:v>7.8009820712577405</c:v>
                </c:pt>
                <c:pt idx="117">
                  <c:v>7.6615270813585168</c:v>
                </c:pt>
                <c:pt idx="118">
                  <c:v>7.5673456760132396</c:v>
                </c:pt>
                <c:pt idx="119">
                  <c:v>8.4955608912891236</c:v>
                </c:pt>
                <c:pt idx="120">
                  <c:v>7.6280311269303347</c:v>
                </c:pt>
                <c:pt idx="121">
                  <c:v>9.4841009890869188</c:v>
                </c:pt>
                <c:pt idx="122">
                  <c:v>7.7527648088513281</c:v>
                </c:pt>
                <c:pt idx="123">
                  <c:v>7.5245612262853596</c:v>
                </c:pt>
                <c:pt idx="124">
                  <c:v>7.5120712458354664</c:v>
                </c:pt>
                <c:pt idx="125">
                  <c:v>7.4764723811639051</c:v>
                </c:pt>
                <c:pt idx="126">
                  <c:v>8.7646780741166062</c:v>
                </c:pt>
                <c:pt idx="127">
                  <c:v>9.6019093748922355</c:v>
                </c:pt>
                <c:pt idx="128">
                  <c:v>9.3041949474478063</c:v>
                </c:pt>
                <c:pt idx="129">
                  <c:v>7.6167758086983728</c:v>
                </c:pt>
                <c:pt idx="130">
                  <c:v>7.1724245771248452</c:v>
                </c:pt>
                <c:pt idx="131">
                  <c:v>7.4764723811639051</c:v>
                </c:pt>
                <c:pt idx="132">
                  <c:v>7.2327331361776146</c:v>
                </c:pt>
                <c:pt idx="133">
                  <c:v>9.0031931937465721</c:v>
                </c:pt>
                <c:pt idx="134">
                  <c:v>10.073652179059451</c:v>
                </c:pt>
                <c:pt idx="135">
                  <c:v>9.6779661764359535</c:v>
                </c:pt>
                <c:pt idx="136">
                  <c:v>7.2923371761738771</c:v>
                </c:pt>
                <c:pt idx="137">
                  <c:v>10.004824986442046</c:v>
                </c:pt>
                <c:pt idx="138">
                  <c:v>7.818430272070656</c:v>
                </c:pt>
                <c:pt idx="139">
                  <c:v>8.8443363327489326</c:v>
                </c:pt>
                <c:pt idx="140">
                  <c:v>7.6563371664301831</c:v>
                </c:pt>
                <c:pt idx="141">
                  <c:v>7.4667994750186022</c:v>
                </c:pt>
                <c:pt idx="142">
                  <c:v>7.3105501585344221</c:v>
                </c:pt>
                <c:pt idx="143">
                  <c:v>7.4259536570775406</c:v>
                </c:pt>
                <c:pt idx="144">
                  <c:v>8.854379458771108</c:v>
                </c:pt>
                <c:pt idx="145">
                  <c:v>7.6657534318616989</c:v>
                </c:pt>
                <c:pt idx="146">
                  <c:v>7.5416830998821114</c:v>
                </c:pt>
                <c:pt idx="147">
                  <c:v>7.2902928824465967</c:v>
                </c:pt>
                <c:pt idx="148">
                  <c:v>7.5913570466985512</c:v>
                </c:pt>
                <c:pt idx="149">
                  <c:v>8.4744944368831217</c:v>
                </c:pt>
                <c:pt idx="150">
                  <c:v>7.6690282885896828</c:v>
                </c:pt>
                <c:pt idx="151">
                  <c:v>9.6118643908510855</c:v>
                </c:pt>
                <c:pt idx="152">
                  <c:v>8.4471998195957028</c:v>
                </c:pt>
                <c:pt idx="153">
                  <c:v>9.0207524791901825</c:v>
                </c:pt>
                <c:pt idx="154">
                  <c:v>10.097943521986084</c:v>
                </c:pt>
                <c:pt idx="155">
                  <c:v>9.84934810643548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7D-6B44-8311-F8AB02B90FFC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8.2002892909070404</c:v>
              </c:pt>
            </c:numLit>
          </c:xVal>
          <c:yVal>
            <c:numLit>
              <c:formatCode>General</c:formatCode>
              <c:ptCount val="1"/>
              <c:pt idx="0">
                <c:v>8.3074593270119461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37D-6B44-8311-F8AB02B90FFC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XLSTAT_20211101_191759_1_HID!xdata1</c:f>
              <c:numCache>
                <c:formatCode>General</c:formatCode>
                <c:ptCount val="70"/>
                <c:pt idx="0">
                  <c:v>6.5197231420673596</c:v>
                </c:pt>
                <c:pt idx="1">
                  <c:v>6.6108176854344309</c:v>
                </c:pt>
                <c:pt idx="2">
                  <c:v>6.7019122288015014</c:v>
                </c:pt>
                <c:pt idx="3">
                  <c:v>6.7930067721685727</c:v>
                </c:pt>
                <c:pt idx="4">
                  <c:v>6.8841013155356432</c:v>
                </c:pt>
                <c:pt idx="5">
                  <c:v>6.9751958589027145</c:v>
                </c:pt>
                <c:pt idx="6">
                  <c:v>7.0662904022697859</c:v>
                </c:pt>
                <c:pt idx="7">
                  <c:v>7.1573849456368563</c:v>
                </c:pt>
                <c:pt idx="8">
                  <c:v>7.2484794890039277</c:v>
                </c:pt>
                <c:pt idx="9">
                  <c:v>7.339574032370999</c:v>
                </c:pt>
                <c:pt idx="10">
                  <c:v>7.4306685757380695</c:v>
                </c:pt>
                <c:pt idx="11">
                  <c:v>7.5217631191051408</c:v>
                </c:pt>
                <c:pt idx="12">
                  <c:v>7.6128576624722113</c:v>
                </c:pt>
                <c:pt idx="13">
                  <c:v>7.7039522058392826</c:v>
                </c:pt>
                <c:pt idx="14">
                  <c:v>7.7950467492063531</c:v>
                </c:pt>
                <c:pt idx="15">
                  <c:v>7.8861412925734244</c:v>
                </c:pt>
                <c:pt idx="16">
                  <c:v>7.9772358359404958</c:v>
                </c:pt>
                <c:pt idx="17">
                  <c:v>8.0683303793075662</c:v>
                </c:pt>
                <c:pt idx="18">
                  <c:v>8.1594249226746385</c:v>
                </c:pt>
                <c:pt idx="19">
                  <c:v>8.2505194660417089</c:v>
                </c:pt>
                <c:pt idx="20">
                  <c:v>8.3416140094087794</c:v>
                </c:pt>
                <c:pt idx="21">
                  <c:v>8.4327085527758499</c:v>
                </c:pt>
                <c:pt idx="22">
                  <c:v>8.5238030961429221</c:v>
                </c:pt>
                <c:pt idx="23">
                  <c:v>8.6148976395099925</c:v>
                </c:pt>
                <c:pt idx="24">
                  <c:v>8.705992182877063</c:v>
                </c:pt>
                <c:pt idx="25">
                  <c:v>8.7970867262441352</c:v>
                </c:pt>
                <c:pt idx="26">
                  <c:v>8.8881812696112057</c:v>
                </c:pt>
                <c:pt idx="27">
                  <c:v>8.9792758129782762</c:v>
                </c:pt>
                <c:pt idx="28">
                  <c:v>9.0703703563453466</c:v>
                </c:pt>
                <c:pt idx="29">
                  <c:v>9.1614648997124188</c:v>
                </c:pt>
                <c:pt idx="30">
                  <c:v>9.2525594430794893</c:v>
                </c:pt>
                <c:pt idx="31">
                  <c:v>9.3436539864465615</c:v>
                </c:pt>
                <c:pt idx="32">
                  <c:v>9.434748529813632</c:v>
                </c:pt>
                <c:pt idx="33">
                  <c:v>9.5258430731807024</c:v>
                </c:pt>
                <c:pt idx="34">
                  <c:v>9.6169376165477729</c:v>
                </c:pt>
                <c:pt idx="35">
                  <c:v>9.7080321599148451</c:v>
                </c:pt>
                <c:pt idx="36">
                  <c:v>9.7991267032819156</c:v>
                </c:pt>
                <c:pt idx="37">
                  <c:v>9.8902212466489861</c:v>
                </c:pt>
                <c:pt idx="38">
                  <c:v>9.9813157900160583</c:v>
                </c:pt>
                <c:pt idx="39">
                  <c:v>10.072410333383129</c:v>
                </c:pt>
                <c:pt idx="40">
                  <c:v>10.163504876750199</c:v>
                </c:pt>
                <c:pt idx="41">
                  <c:v>10.25459942011727</c:v>
                </c:pt>
                <c:pt idx="42">
                  <c:v>10.345693963484342</c:v>
                </c:pt>
                <c:pt idx="43">
                  <c:v>10.436788506851412</c:v>
                </c:pt>
                <c:pt idx="44">
                  <c:v>10.527883050218485</c:v>
                </c:pt>
                <c:pt idx="45">
                  <c:v>10.618977593585555</c:v>
                </c:pt>
                <c:pt idx="46">
                  <c:v>10.710072136952625</c:v>
                </c:pt>
                <c:pt idx="47">
                  <c:v>10.801166680319696</c:v>
                </c:pt>
                <c:pt idx="48">
                  <c:v>10.892261223686766</c:v>
                </c:pt>
                <c:pt idx="49">
                  <c:v>10.983355767053839</c:v>
                </c:pt>
                <c:pt idx="50">
                  <c:v>11.074450310420909</c:v>
                </c:pt>
                <c:pt idx="51">
                  <c:v>11.165544853787981</c:v>
                </c:pt>
                <c:pt idx="52">
                  <c:v>11.256639397155052</c:v>
                </c:pt>
                <c:pt idx="53">
                  <c:v>11.347733940522122</c:v>
                </c:pt>
                <c:pt idx="54">
                  <c:v>11.438828483889193</c:v>
                </c:pt>
                <c:pt idx="55">
                  <c:v>11.529923027256265</c:v>
                </c:pt>
                <c:pt idx="56">
                  <c:v>11.621017570623335</c:v>
                </c:pt>
                <c:pt idx="57">
                  <c:v>11.712112113990408</c:v>
                </c:pt>
                <c:pt idx="58">
                  <c:v>11.803206657357478</c:v>
                </c:pt>
                <c:pt idx="59">
                  <c:v>11.894301200724549</c:v>
                </c:pt>
                <c:pt idx="60">
                  <c:v>11.985395744091619</c:v>
                </c:pt>
                <c:pt idx="61">
                  <c:v>12.076490287458689</c:v>
                </c:pt>
                <c:pt idx="62">
                  <c:v>12.167584830825762</c:v>
                </c:pt>
                <c:pt idx="63">
                  <c:v>12.258679374192832</c:v>
                </c:pt>
                <c:pt idx="64">
                  <c:v>12.349773917559904</c:v>
                </c:pt>
                <c:pt idx="65">
                  <c:v>12.440868460926975</c:v>
                </c:pt>
                <c:pt idx="66">
                  <c:v>12.531963004294045</c:v>
                </c:pt>
                <c:pt idx="67">
                  <c:v>12.623057547661116</c:v>
                </c:pt>
                <c:pt idx="68">
                  <c:v>12.714152091028186</c:v>
                </c:pt>
                <c:pt idx="69">
                  <c:v>12.805246634395258</c:v>
                </c:pt>
              </c:numCache>
            </c:numRef>
          </c:xVal>
          <c:yVal>
            <c:numRef>
              <c:f>XLSTAT_20211101_191759_1_HID!ydata1</c:f>
              <c:numCache>
                <c:formatCode>General</c:formatCode>
                <c:ptCount val="70"/>
                <c:pt idx="0">
                  <c:v>5.4874862231070125</c:v>
                </c:pt>
                <c:pt idx="1">
                  <c:v>5.5805222444650155</c:v>
                </c:pt>
                <c:pt idx="2">
                  <c:v>5.6734495558357763</c:v>
                </c:pt>
                <c:pt idx="3">
                  <c:v>5.7662675750649086</c:v>
                </c:pt>
                <c:pt idx="4">
                  <c:v>5.8589757509152989</c:v>
                </c:pt>
                <c:pt idx="5">
                  <c:v>5.9515735639173464</c:v>
                </c:pt>
                <c:pt idx="6">
                  <c:v>6.0440605271791208</c:v>
                </c:pt>
                <c:pt idx="7">
                  <c:v>6.1364361871536159</c:v>
                </c:pt>
                <c:pt idx="8">
                  <c:v>6.2287001243603326</c:v>
                </c:pt>
                <c:pt idx="9">
                  <c:v>6.3208519540585915</c:v>
                </c:pt>
                <c:pt idx="10">
                  <c:v>6.412891326870108</c:v>
                </c:pt>
                <c:pt idx="11">
                  <c:v>6.5048179293485093</c:v>
                </c:pt>
                <c:pt idx="12">
                  <c:v>6.596631484493658</c:v>
                </c:pt>
                <c:pt idx="13">
                  <c:v>6.6883317522088559</c:v>
                </c:pt>
                <c:pt idx="14">
                  <c:v>6.7799185296991418</c:v>
                </c:pt>
                <c:pt idx="15">
                  <c:v>6.8713916518092022</c:v>
                </c:pt>
                <c:pt idx="16">
                  <c:v>6.9627509912995382</c:v>
                </c:pt>
                <c:pt idx="17">
                  <c:v>7.0539964590598574</c:v>
                </c:pt>
                <c:pt idx="18">
                  <c:v>7.1451280042588259</c:v>
                </c:pt>
                <c:pt idx="19">
                  <c:v>7.2361456144296055</c:v>
                </c:pt>
                <c:pt idx="20">
                  <c:v>7.3270493154908589</c:v>
                </c:pt>
                <c:pt idx="21">
                  <c:v>7.4178391717031023</c:v>
                </c:pt>
                <c:pt idx="22">
                  <c:v>7.5085152855606054</c:v>
                </c:pt>
                <c:pt idx="23">
                  <c:v>7.5990777976192589</c:v>
                </c:pt>
                <c:pt idx="24">
                  <c:v>7.6895268862610759</c:v>
                </c:pt>
                <c:pt idx="25">
                  <c:v>7.7798627673962484</c:v>
                </c:pt>
                <c:pt idx="26">
                  <c:v>7.8700856941039063</c:v>
                </c:pt>
                <c:pt idx="27">
                  <c:v>7.9601959562129974</c:v>
                </c:pt>
                <c:pt idx="28">
                  <c:v>8.0501938798248496</c:v>
                </c:pt>
                <c:pt idx="29">
                  <c:v>8.140079826779278</c:v>
                </c:pt>
                <c:pt idx="30">
                  <c:v>8.2298541940662009</c:v>
                </c:pt>
                <c:pt idx="31">
                  <c:v>8.3195174131850376</c:v>
                </c:pt>
                <c:pt idx="32">
                  <c:v>8.4090699494541656</c:v>
                </c:pt>
                <c:pt idx="33">
                  <c:v>8.4985123012730384</c:v>
                </c:pt>
                <c:pt idx="34">
                  <c:v>8.5878449993395787</c:v>
                </c:pt>
                <c:pt idx="35">
                  <c:v>8.6770686058256352</c:v>
                </c:pt>
                <c:pt idx="36">
                  <c:v>8.766183713513394</c:v>
                </c:pt>
                <c:pt idx="37">
                  <c:v>8.8551909448957282</c:v>
                </c:pt>
                <c:pt idx="38">
                  <c:v>8.9440909512434921</c:v>
                </c:pt>
                <c:pt idx="39">
                  <c:v>9.0328844116428648</c:v>
                </c:pt>
                <c:pt idx="40">
                  <c:v>9.1215720320059024</c:v>
                </c:pt>
                <c:pt idx="41">
                  <c:v>9.2101545440573744</c:v>
                </c:pt>
                <c:pt idx="42">
                  <c:v>9.2986327043010846</c:v>
                </c:pt>
                <c:pt idx="43">
                  <c:v>9.387007292968768</c:v>
                </c:pt>
                <c:pt idx="44">
                  <c:v>9.4752791129546914</c:v>
                </c:pt>
                <c:pt idx="45">
                  <c:v>9.5634489887389655</c:v>
                </c:pt>
                <c:pt idx="46">
                  <c:v>9.6515177653026054</c:v>
                </c:pt>
                <c:pt idx="47">
                  <c:v>9.7394863070372377</c:v>
                </c:pt>
                <c:pt idx="48">
                  <c:v>9.8273554966522916</c:v>
                </c:pt>
                <c:pt idx="49">
                  <c:v>9.9151262340824395</c:v>
                </c:pt>
                <c:pt idx="50">
                  <c:v>10.002799435397893</c:v>
                </c:pt>
                <c:pt idx="51">
                  <c:v>10.090376031720151</c:v>
                </c:pt>
                <c:pt idx="52">
                  <c:v>10.177856968145527</c:v>
                </c:pt>
                <c:pt idx="53">
                  <c:v>10.265243202678844</c:v>
                </c:pt>
                <c:pt idx="54">
                  <c:v>10.35253570517937</c:v>
                </c:pt>
                <c:pt idx="55">
                  <c:v>10.439735456321078</c:v>
                </c:pt>
                <c:pt idx="56">
                  <c:v>10.526843446569103</c:v>
                </c:pt>
                <c:pt idx="57">
                  <c:v>10.613860675174159</c:v>
                </c:pt>
                <c:pt idx="58">
                  <c:v>10.700788149186508</c:v>
                </c:pt>
                <c:pt idx="59">
                  <c:v>10.787626882491002</c:v>
                </c:pt>
                <c:pt idx="60">
                  <c:v>10.874377894864484</c:v>
                </c:pt>
                <c:pt idx="61">
                  <c:v>10.961042211056778</c:v>
                </c:pt>
                <c:pt idx="62">
                  <c:v>11.047620859896343</c:v>
                </c:pt>
                <c:pt idx="63">
                  <c:v>11.134114873421494</c:v>
                </c:pt>
                <c:pt idx="64">
                  <c:v>11.220525286038033</c:v>
                </c:pt>
                <c:pt idx="65">
                  <c:v>11.306853133703935</c:v>
                </c:pt>
                <c:pt idx="66">
                  <c:v>11.393099453141684</c:v>
                </c:pt>
                <c:pt idx="67">
                  <c:v>11.47926528107868</c:v>
                </c:pt>
                <c:pt idx="68">
                  <c:v>11.565351653516068</c:v>
                </c:pt>
                <c:pt idx="69">
                  <c:v>11.651359605026215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7D-6B44-8311-F8AB02B90FF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XLSTAT_20211101_191759_1_HID!xdata2</c:f>
              <c:numCache>
                <c:formatCode>General</c:formatCode>
                <c:ptCount val="70"/>
                <c:pt idx="0">
                  <c:v>5.3435113050363103</c:v>
                </c:pt>
                <c:pt idx="1">
                  <c:v>5.4516523967661508</c:v>
                </c:pt>
                <c:pt idx="2">
                  <c:v>5.5597934884959903</c:v>
                </c:pt>
                <c:pt idx="3">
                  <c:v>5.6679345802258307</c:v>
                </c:pt>
                <c:pt idx="4">
                  <c:v>5.7760756719556703</c:v>
                </c:pt>
                <c:pt idx="5">
                  <c:v>5.8842167636855107</c:v>
                </c:pt>
                <c:pt idx="6">
                  <c:v>5.9923578554153503</c:v>
                </c:pt>
                <c:pt idx="7">
                  <c:v>6.1004989471451907</c:v>
                </c:pt>
                <c:pt idx="8">
                  <c:v>6.2086400388750302</c:v>
                </c:pt>
                <c:pt idx="9">
                  <c:v>6.3167811306048707</c:v>
                </c:pt>
                <c:pt idx="10">
                  <c:v>6.4249222223347102</c:v>
                </c:pt>
                <c:pt idx="11">
                  <c:v>6.5330633140645507</c:v>
                </c:pt>
                <c:pt idx="12">
                  <c:v>6.6412044057943902</c:v>
                </c:pt>
                <c:pt idx="13">
                  <c:v>6.7493454975242306</c:v>
                </c:pt>
                <c:pt idx="14">
                  <c:v>6.8574865892540702</c:v>
                </c:pt>
                <c:pt idx="15">
                  <c:v>6.9656276809839106</c:v>
                </c:pt>
                <c:pt idx="16">
                  <c:v>7.0737687727137502</c:v>
                </c:pt>
                <c:pt idx="17">
                  <c:v>7.1819098644435906</c:v>
                </c:pt>
                <c:pt idx="18">
                  <c:v>7.2900509561734301</c:v>
                </c:pt>
                <c:pt idx="19">
                  <c:v>7.3981920479032706</c:v>
                </c:pt>
                <c:pt idx="20">
                  <c:v>7.5063331396331101</c:v>
                </c:pt>
                <c:pt idx="21">
                  <c:v>7.6144742313629505</c:v>
                </c:pt>
                <c:pt idx="22">
                  <c:v>7.722615323092791</c:v>
                </c:pt>
                <c:pt idx="23">
                  <c:v>7.8307564148226305</c:v>
                </c:pt>
                <c:pt idx="24">
                  <c:v>7.9388975065524701</c:v>
                </c:pt>
                <c:pt idx="25">
                  <c:v>8.0470385982823096</c:v>
                </c:pt>
                <c:pt idx="26">
                  <c:v>8.1551796900121509</c:v>
                </c:pt>
                <c:pt idx="27">
                  <c:v>8.2633207817419905</c:v>
                </c:pt>
                <c:pt idx="28">
                  <c:v>8.37146187347183</c:v>
                </c:pt>
                <c:pt idx="29">
                  <c:v>8.4796029652016713</c:v>
                </c:pt>
                <c:pt idx="30">
                  <c:v>8.5877440569315109</c:v>
                </c:pt>
                <c:pt idx="31">
                  <c:v>8.6958851486613504</c:v>
                </c:pt>
                <c:pt idx="32">
                  <c:v>8.80402624039119</c:v>
                </c:pt>
                <c:pt idx="33">
                  <c:v>8.9121673321210295</c:v>
                </c:pt>
                <c:pt idx="34">
                  <c:v>9.0203084238508708</c:v>
                </c:pt>
                <c:pt idx="35">
                  <c:v>9.1284495155807104</c:v>
                </c:pt>
                <c:pt idx="36">
                  <c:v>9.2365906073105499</c:v>
                </c:pt>
                <c:pt idx="37">
                  <c:v>9.3447316990403912</c:v>
                </c:pt>
                <c:pt idx="38">
                  <c:v>9.4528727907702308</c:v>
                </c:pt>
                <c:pt idx="39">
                  <c:v>9.5610138825000703</c:v>
                </c:pt>
                <c:pt idx="40">
                  <c:v>9.6691549742299117</c:v>
                </c:pt>
                <c:pt idx="41">
                  <c:v>9.7772960659597494</c:v>
                </c:pt>
                <c:pt idx="42">
                  <c:v>9.8854371576895907</c:v>
                </c:pt>
                <c:pt idx="43">
                  <c:v>9.9935782494194303</c:v>
                </c:pt>
                <c:pt idx="44">
                  <c:v>10.10171934114927</c:v>
                </c:pt>
                <c:pt idx="45">
                  <c:v>10.209860432879111</c:v>
                </c:pt>
                <c:pt idx="46">
                  <c:v>10.318001524608951</c:v>
                </c:pt>
                <c:pt idx="47">
                  <c:v>10.42614261633879</c:v>
                </c:pt>
                <c:pt idx="48">
                  <c:v>10.534283708068632</c:v>
                </c:pt>
                <c:pt idx="49">
                  <c:v>10.642424799798469</c:v>
                </c:pt>
                <c:pt idx="50">
                  <c:v>10.750565891528311</c:v>
                </c:pt>
                <c:pt idx="51">
                  <c:v>10.85870698325815</c:v>
                </c:pt>
                <c:pt idx="52">
                  <c:v>10.96684807498799</c:v>
                </c:pt>
                <c:pt idx="53">
                  <c:v>11.074989166717831</c:v>
                </c:pt>
                <c:pt idx="54">
                  <c:v>11.183130258447671</c:v>
                </c:pt>
                <c:pt idx="55">
                  <c:v>11.29127135017751</c:v>
                </c:pt>
                <c:pt idx="56">
                  <c:v>11.399412441907351</c:v>
                </c:pt>
                <c:pt idx="57">
                  <c:v>11.507553533637189</c:v>
                </c:pt>
                <c:pt idx="58">
                  <c:v>11.615694625367031</c:v>
                </c:pt>
                <c:pt idx="59">
                  <c:v>11.72383571709687</c:v>
                </c:pt>
                <c:pt idx="60">
                  <c:v>11.83197680882671</c:v>
                </c:pt>
                <c:pt idx="61">
                  <c:v>11.940117900556551</c:v>
                </c:pt>
                <c:pt idx="62">
                  <c:v>12.048258992286391</c:v>
                </c:pt>
                <c:pt idx="63">
                  <c:v>12.15640008401623</c:v>
                </c:pt>
                <c:pt idx="64">
                  <c:v>12.264541175746071</c:v>
                </c:pt>
                <c:pt idx="65">
                  <c:v>12.372682267475911</c:v>
                </c:pt>
                <c:pt idx="66">
                  <c:v>12.48082335920575</c:v>
                </c:pt>
                <c:pt idx="67">
                  <c:v>12.588964450935592</c:v>
                </c:pt>
                <c:pt idx="68">
                  <c:v>12.69710554266543</c:v>
                </c:pt>
                <c:pt idx="69">
                  <c:v>12.805246634395271</c:v>
                </c:pt>
              </c:numCache>
            </c:numRef>
          </c:xVal>
          <c:yVal>
            <c:numRef>
              <c:f>XLSTAT_20211101_191759_1_HID!ydata2</c:f>
              <c:numCache>
                <c:formatCode>General</c:formatCode>
                <c:ptCount val="70"/>
                <c:pt idx="0">
                  <c:v>6.4102713088832335</c:v>
                </c:pt>
                <c:pt idx="1">
                  <c:v>6.5145286787449068</c:v>
                </c:pt>
                <c:pt idx="2">
                  <c:v>6.6189255905416076</c:v>
                </c:pt>
                <c:pt idx="3">
                  <c:v>6.7234635292268718</c:v>
                </c:pt>
                <c:pt idx="4">
                  <c:v>6.8281439437802725</c:v>
                </c:pt>
                <c:pt idx="5">
                  <c:v>6.9329682446312386</c:v>
                </c:pt>
                <c:pt idx="6">
                  <c:v>7.0379378010899032</c:v>
                </c:pt>
                <c:pt idx="7">
                  <c:v>7.1430539387944716</c:v>
                </c:pt>
                <c:pt idx="8">
                  <c:v>7.2483179371848632</c:v>
                </c:pt>
                <c:pt idx="9">
                  <c:v>7.3537310270126781</c:v>
                </c:pt>
                <c:pt idx="10">
                  <c:v>7.4592943878976961</c:v>
                </c:pt>
                <c:pt idx="11">
                  <c:v>7.5650091459413256</c:v>
                </c:pt>
                <c:pt idx="12">
                  <c:v>7.6708763714073838</c:v>
                </c:pt>
                <c:pt idx="13">
                  <c:v>7.7768970764806804</c:v>
                </c:pt>
                <c:pt idx="14">
                  <c:v>7.8830722131137012</c:v>
                </c:pt>
                <c:pt idx="15">
                  <c:v>7.9894026709716002</c:v>
                </c:pt>
                <c:pt idx="16">
                  <c:v>8.09588927548538</c:v>
                </c:pt>
                <c:pt idx="17">
                  <c:v>8.2025327860228838</c:v>
                </c:pt>
                <c:pt idx="18">
                  <c:v>8.3093338941867501</c:v>
                </c:pt>
                <c:pt idx="19">
                  <c:v>8.4162932222480258</c:v>
                </c:pt>
                <c:pt idx="20">
                  <c:v>8.5234113217235326</c:v>
                </c:pt>
                <c:pt idx="21">
                  <c:v>8.6306886721044904</c:v>
                </c:pt>
                <c:pt idx="22">
                  <c:v>8.7381256797430868</c:v>
                </c:pt>
                <c:pt idx="23">
                  <c:v>8.845722676903037</c:v>
                </c:pt>
                <c:pt idx="24">
                  <c:v>8.9534799209792233</c:v>
                </c:pt>
                <c:pt idx="25">
                  <c:v>9.0613975938906979</c:v>
                </c:pt>
                <c:pt idx="26">
                  <c:v>9.169475801650357</c:v>
                </c:pt>
                <c:pt idx="27">
                  <c:v>9.2777145741136717</c:v>
                </c:pt>
                <c:pt idx="28">
                  <c:v>9.3861138649078626</c:v>
                </c:pt>
                <c:pt idx="29">
                  <c:v>9.4946735515419043</c:v>
                </c:pt>
                <c:pt idx="30">
                  <c:v>9.6033934356967361</c:v>
                </c:pt>
                <c:pt idx="31">
                  <c:v>9.7122732436941295</c:v>
                </c:pt>
                <c:pt idx="32">
                  <c:v>9.8213126271415607</c:v>
                </c:pt>
                <c:pt idx="33">
                  <c:v>9.9305111637496086</c:v>
                </c:pt>
                <c:pt idx="34">
                  <c:v>10.039868358317413</c:v>
                </c:pt>
                <c:pt idx="35">
                  <c:v>10.149383643880842</c:v>
                </c:pt>
                <c:pt idx="36">
                  <c:v>10.259056383017281</c:v>
                </c:pt>
                <c:pt idx="37">
                  <c:v>10.368885869300064</c:v>
                </c:pt>
                <c:pt idx="38">
                  <c:v>10.478871328894957</c:v>
                </c:pt>
                <c:pt idx="39">
                  <c:v>10.589011922290499</c:v>
                </c:pt>
                <c:pt idx="40">
                  <c:v>10.699306746153322</c:v>
                </c:pt>
                <c:pt idx="41">
                  <c:v>10.809754835299238</c:v>
                </c:pt>
                <c:pt idx="42">
                  <c:v>10.920355164770424</c:v>
                </c:pt>
                <c:pt idx="43">
                  <c:v>11.031106652008685</c:v>
                </c:pt>
                <c:pt idx="44">
                  <c:v>11.142008159114619</c:v>
                </c:pt>
                <c:pt idx="45">
                  <c:v>11.253058495182319</c:v>
                </c:pt>
                <c:pt idx="46">
                  <c:v>11.364256418699144</c:v>
                </c:pt>
                <c:pt idx="47">
                  <c:v>11.475600640000186</c:v>
                </c:pt>
                <c:pt idx="48">
                  <c:v>11.587089823767041</c:v>
                </c:pt>
                <c:pt idx="49">
                  <c:v>11.698722591560696</c:v>
                </c:pt>
                <c:pt idx="50">
                  <c:v>11.810497524378574</c:v>
                </c:pt>
                <c:pt idx="51">
                  <c:v>11.922413165225983</c:v>
                </c:pt>
                <c:pt idx="52">
                  <c:v>12.034468021692636</c:v>
                </c:pt>
                <c:pt idx="53">
                  <c:v>12.146660568525199</c:v>
                </c:pt>
                <c:pt idx="54">
                  <c:v>12.258989250187293</c:v>
                </c:pt>
                <c:pt idx="55">
                  <c:v>12.371452483398839</c:v>
                </c:pt>
                <c:pt idx="56">
                  <c:v>12.484048659647069</c:v>
                </c:pt>
                <c:pt idx="57">
                  <c:v>12.59677614766208</c:v>
                </c:pt>
                <c:pt idx="58">
                  <c:v>12.709633295850344</c:v>
                </c:pt>
                <c:pt idx="59">
                  <c:v>12.822618434680047</c:v>
                </c:pt>
                <c:pt idx="60">
                  <c:v>12.935729879012806</c:v>
                </c:pt>
                <c:pt idx="61">
                  <c:v>13.048965930376728</c:v>
                </c:pt>
                <c:pt idx="62">
                  <c:v>13.162324879176403</c:v>
                </c:pt>
                <c:pt idx="63">
                  <c:v>13.275805006835967</c:v>
                </c:pt>
                <c:pt idx="64">
                  <c:v>13.38940458787182</c:v>
                </c:pt>
                <c:pt idx="65">
                  <c:v>13.503121891892176</c:v>
                </c:pt>
                <c:pt idx="66">
                  <c:v>13.616955185521116</c:v>
                </c:pt>
                <c:pt idx="67">
                  <c:v>13.730902734245191</c:v>
                </c:pt>
                <c:pt idx="68">
                  <c:v>13.844962804181229</c:v>
                </c:pt>
                <c:pt idx="69">
                  <c:v>13.959133663764316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7D-6B44-8311-F8AB02B90FFC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5</c:v>
              </c:pt>
              <c:pt idx="1">
                <c:v>14</c:v>
              </c:pt>
            </c:numLit>
          </c:xVal>
          <c:yVal>
            <c:numLit>
              <c:formatCode>General</c:formatCode>
              <c:ptCount val="2"/>
              <c:pt idx="0">
                <c:v>5</c:v>
              </c:pt>
              <c:pt idx="1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B37D-6B44-8311-F8AB02B9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713471"/>
        <c:axId val="1806766511"/>
      </c:scatterChart>
      <c:valAx>
        <c:axId val="1807713471"/>
        <c:scaling>
          <c:orientation val="minMax"/>
          <c:max val="14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Pred(Ln(UVolFre))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06766511"/>
        <c:crosses val="autoZero"/>
        <c:crossBetween val="midCat"/>
      </c:valAx>
      <c:valAx>
        <c:axId val="1806766511"/>
        <c:scaling>
          <c:orientation val="minMax"/>
          <c:max val="14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Ln(UVolFre)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0771347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Ln(UVolFre)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'Regr-SalesFre'!$B$115:$B$270</c:f>
              <c:strCache>
                <c:ptCount val="156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</c:strCache>
            </c:strRef>
          </c:cat>
          <c:val>
            <c:numRef>
              <c:f>'Regr-SalesFre'!$G$115:$G$270</c:f>
              <c:numCache>
                <c:formatCode>0.000</c:formatCode>
                <c:ptCount val="156"/>
                <c:pt idx="0">
                  <c:v>-0.48171177016555233</c:v>
                </c:pt>
                <c:pt idx="1">
                  <c:v>0.20945290279705578</c:v>
                </c:pt>
                <c:pt idx="2">
                  <c:v>2.3292145137912366</c:v>
                </c:pt>
                <c:pt idx="3">
                  <c:v>1.8881942492110753</c:v>
                </c:pt>
                <c:pt idx="4">
                  <c:v>-0.3004271580032748</c:v>
                </c:pt>
                <c:pt idx="5">
                  <c:v>-0.72164282264689839</c:v>
                </c:pt>
                <c:pt idx="6">
                  <c:v>-0.45282665234418029</c:v>
                </c:pt>
                <c:pt idx="7">
                  <c:v>-0.35020340049419735</c:v>
                </c:pt>
                <c:pt idx="8">
                  <c:v>0.45317707542351177</c:v>
                </c:pt>
                <c:pt idx="9">
                  <c:v>-0.53862443285503281</c:v>
                </c:pt>
                <c:pt idx="10">
                  <c:v>0.53365318860815469</c:v>
                </c:pt>
                <c:pt idx="11">
                  <c:v>1.8553079093519886</c:v>
                </c:pt>
                <c:pt idx="12">
                  <c:v>1.234462070541519</c:v>
                </c:pt>
                <c:pt idx="13">
                  <c:v>-0.63366603279308376</c:v>
                </c:pt>
                <c:pt idx="14">
                  <c:v>-9.0039237970965802E-2</c:v>
                </c:pt>
                <c:pt idx="15">
                  <c:v>-0.17511743833143342</c:v>
                </c:pt>
                <c:pt idx="16">
                  <c:v>-0.87090913552923366</c:v>
                </c:pt>
                <c:pt idx="17">
                  <c:v>-0.5803696347073255</c:v>
                </c:pt>
                <c:pt idx="18">
                  <c:v>-0.47211367632225854</c:v>
                </c:pt>
                <c:pt idx="19">
                  <c:v>-0.66779526875076833</c:v>
                </c:pt>
                <c:pt idx="20">
                  <c:v>-0.68884565359851835</c:v>
                </c:pt>
                <c:pt idx="21">
                  <c:v>-1.4935298627640905</c:v>
                </c:pt>
                <c:pt idx="22">
                  <c:v>0.70161162177305358</c:v>
                </c:pt>
                <c:pt idx="23">
                  <c:v>1.4045724875559635</c:v>
                </c:pt>
                <c:pt idx="24">
                  <c:v>0.77414134705226822</c:v>
                </c:pt>
                <c:pt idx="25">
                  <c:v>-0.91582073457476065</c:v>
                </c:pt>
                <c:pt idx="26">
                  <c:v>-1.0762351426671126</c:v>
                </c:pt>
                <c:pt idx="27">
                  <c:v>-1.0841343896948505</c:v>
                </c:pt>
                <c:pt idx="28">
                  <c:v>-0.95902051516640374</c:v>
                </c:pt>
                <c:pt idx="29">
                  <c:v>-0.75443979612446921</c:v>
                </c:pt>
                <c:pt idx="30">
                  <c:v>-0.59503965060593134</c:v>
                </c:pt>
                <c:pt idx="31">
                  <c:v>-0.85797451767474509</c:v>
                </c:pt>
                <c:pt idx="32">
                  <c:v>-0.57829463189546793</c:v>
                </c:pt>
                <c:pt idx="33">
                  <c:v>-1.0631892660764537</c:v>
                </c:pt>
                <c:pt idx="34">
                  <c:v>-0.69539618702726058</c:v>
                </c:pt>
                <c:pt idx="35">
                  <c:v>1.6062778311269474</c:v>
                </c:pt>
                <c:pt idx="36">
                  <c:v>-0.14135944229799347</c:v>
                </c:pt>
                <c:pt idx="37">
                  <c:v>-1.3886184713596788</c:v>
                </c:pt>
                <c:pt idx="38">
                  <c:v>0.93554619970934461</c:v>
                </c:pt>
                <c:pt idx="39">
                  <c:v>-0.16748464095565088</c:v>
                </c:pt>
                <c:pt idx="40">
                  <c:v>-0.45058640760917229</c:v>
                </c:pt>
                <c:pt idx="41">
                  <c:v>-0.12897642959845995</c:v>
                </c:pt>
                <c:pt idx="42">
                  <c:v>-0.46201852313258518</c:v>
                </c:pt>
                <c:pt idx="43">
                  <c:v>-0.13747890021267084</c:v>
                </c:pt>
                <c:pt idx="44">
                  <c:v>-0.89149620586492384</c:v>
                </c:pt>
                <c:pt idx="45">
                  <c:v>-1.1145161883316546</c:v>
                </c:pt>
                <c:pt idx="46">
                  <c:v>-0.50707086642540111</c:v>
                </c:pt>
                <c:pt idx="47">
                  <c:v>-0.82989686432349741</c:v>
                </c:pt>
                <c:pt idx="48">
                  <c:v>-1.2282868298540426</c:v>
                </c:pt>
                <c:pt idx="49">
                  <c:v>-0.88836675829713396</c:v>
                </c:pt>
                <c:pt idx="50">
                  <c:v>-0.19993145893374153</c:v>
                </c:pt>
                <c:pt idx="51">
                  <c:v>0.66342932072677896</c:v>
                </c:pt>
                <c:pt idx="52">
                  <c:v>-1.3048192988587217</c:v>
                </c:pt>
                <c:pt idx="53">
                  <c:v>-0.79643130228106496</c:v>
                </c:pt>
                <c:pt idx="54">
                  <c:v>-5.6567884009844707E-2</c:v>
                </c:pt>
                <c:pt idx="55">
                  <c:v>-0.16193230319632204</c:v>
                </c:pt>
                <c:pt idx="56">
                  <c:v>-0.36758685418413795</c:v>
                </c:pt>
                <c:pt idx="57">
                  <c:v>-1.0001246958935377</c:v>
                </c:pt>
                <c:pt idx="58">
                  <c:v>0.93265953455813977</c:v>
                </c:pt>
                <c:pt idx="59">
                  <c:v>0.67454745567035601</c:v>
                </c:pt>
                <c:pt idx="60">
                  <c:v>0.37100290985039636</c:v>
                </c:pt>
                <c:pt idx="61">
                  <c:v>-0.53304400120291706</c:v>
                </c:pt>
                <c:pt idx="62">
                  <c:v>-5.8854609765421791E-2</c:v>
                </c:pt>
                <c:pt idx="63">
                  <c:v>0.15637586760620062</c:v>
                </c:pt>
                <c:pt idx="64">
                  <c:v>0.42479082077559011</c:v>
                </c:pt>
                <c:pt idx="65">
                  <c:v>-0.91080617707008005</c:v>
                </c:pt>
                <c:pt idx="66">
                  <c:v>-0.84972161786677536</c:v>
                </c:pt>
                <c:pt idx="67">
                  <c:v>-0.78664195929790348</c:v>
                </c:pt>
                <c:pt idx="68">
                  <c:v>-0.63941510990387318</c:v>
                </c:pt>
                <c:pt idx="69">
                  <c:v>-0.85353150882399842</c:v>
                </c:pt>
                <c:pt idx="70">
                  <c:v>-0.86802931714391718</c:v>
                </c:pt>
                <c:pt idx="71">
                  <c:v>-0.30461762781574198</c:v>
                </c:pt>
                <c:pt idx="72">
                  <c:v>0.86442440747827198</c:v>
                </c:pt>
                <c:pt idx="73">
                  <c:v>0.41586477378250608</c:v>
                </c:pt>
                <c:pt idx="74">
                  <c:v>2.785733762843599</c:v>
                </c:pt>
                <c:pt idx="75">
                  <c:v>4.2949522995336409</c:v>
                </c:pt>
                <c:pt idx="76">
                  <c:v>3.623487478825413</c:v>
                </c:pt>
                <c:pt idx="77">
                  <c:v>0.65071653817048558</c:v>
                </c:pt>
                <c:pt idx="78">
                  <c:v>0.40159084802695078</c:v>
                </c:pt>
                <c:pt idx="79">
                  <c:v>0.14944232096903365</c:v>
                </c:pt>
                <c:pt idx="80">
                  <c:v>0.12409949689495728</c:v>
                </c:pt>
                <c:pt idx="81">
                  <c:v>-0.35084191507746026</c:v>
                </c:pt>
                <c:pt idx="82">
                  <c:v>-0.59262675234208628</c:v>
                </c:pt>
                <c:pt idx="83">
                  <c:v>-0.51442767619239627</c:v>
                </c:pt>
                <c:pt idx="84">
                  <c:v>-0.66448369522819584</c:v>
                </c:pt>
                <c:pt idx="85">
                  <c:v>-1.1405801347278939</c:v>
                </c:pt>
                <c:pt idx="86">
                  <c:v>-0.66425505922522687</c:v>
                </c:pt>
                <c:pt idx="87">
                  <c:v>-0.5287550895990778</c:v>
                </c:pt>
                <c:pt idx="88">
                  <c:v>-0.13042278867968765</c:v>
                </c:pt>
                <c:pt idx="89">
                  <c:v>0.16789384072211086</c:v>
                </c:pt>
                <c:pt idx="90">
                  <c:v>0.17344051440740679</c:v>
                </c:pt>
                <c:pt idx="91">
                  <c:v>-6.1093134275622046E-2</c:v>
                </c:pt>
                <c:pt idx="92">
                  <c:v>-0.61624441227357085</c:v>
                </c:pt>
                <c:pt idx="93">
                  <c:v>-0.44284351168621383</c:v>
                </c:pt>
                <c:pt idx="94">
                  <c:v>-1.1624406019329951</c:v>
                </c:pt>
                <c:pt idx="95">
                  <c:v>0.1273135160342096</c:v>
                </c:pt>
                <c:pt idx="96">
                  <c:v>2.1614001040017423</c:v>
                </c:pt>
                <c:pt idx="97">
                  <c:v>0.65644912797073929</c:v>
                </c:pt>
                <c:pt idx="98">
                  <c:v>1.247897708502395</c:v>
                </c:pt>
                <c:pt idx="99">
                  <c:v>0.90649561723988026</c:v>
                </c:pt>
                <c:pt idx="100">
                  <c:v>-1.2782197626000849E-2</c:v>
                </c:pt>
                <c:pt idx="101">
                  <c:v>0.3005482731522317</c:v>
                </c:pt>
                <c:pt idx="102">
                  <c:v>9.0249287445094376E-2</c:v>
                </c:pt>
                <c:pt idx="103">
                  <c:v>0.28510344091060008</c:v>
                </c:pt>
                <c:pt idx="104">
                  <c:v>-0.20014866571888779</c:v>
                </c:pt>
                <c:pt idx="105">
                  <c:v>0.63233694392355833</c:v>
                </c:pt>
                <c:pt idx="106">
                  <c:v>1.8678413947532453</c:v>
                </c:pt>
                <c:pt idx="107">
                  <c:v>1.3230512579434646</c:v>
                </c:pt>
                <c:pt idx="108">
                  <c:v>0.28347926061036266</c:v>
                </c:pt>
                <c:pt idx="109">
                  <c:v>0.12299896731474798</c:v>
                </c:pt>
                <c:pt idx="110">
                  <c:v>-0.55061567852687998</c:v>
                </c:pt>
                <c:pt idx="111">
                  <c:v>0.40047205226841881</c:v>
                </c:pt>
                <c:pt idx="112">
                  <c:v>-0.32263673887206151</c:v>
                </c:pt>
                <c:pt idx="113">
                  <c:v>-1.0726875247526826</c:v>
                </c:pt>
                <c:pt idx="114">
                  <c:v>-0.25155613518948977</c:v>
                </c:pt>
                <c:pt idx="115">
                  <c:v>7.5422983990179146E-2</c:v>
                </c:pt>
                <c:pt idx="116">
                  <c:v>0.45727076405243366</c:v>
                </c:pt>
                <c:pt idx="117">
                  <c:v>-0.20447875809179808</c:v>
                </c:pt>
                <c:pt idx="118">
                  <c:v>0.16885075707606401</c:v>
                </c:pt>
                <c:pt idx="119">
                  <c:v>0.34929502051759104</c:v>
                </c:pt>
                <c:pt idx="120">
                  <c:v>0.7067468344198462</c:v>
                </c:pt>
                <c:pt idx="121">
                  <c:v>2.9920884793420623</c:v>
                </c:pt>
                <c:pt idx="122">
                  <c:v>-0.19506940680500665</c:v>
                </c:pt>
                <c:pt idx="123">
                  <c:v>-0.28768749624381801</c:v>
                </c:pt>
                <c:pt idx="124">
                  <c:v>-0.13001289361324428</c:v>
                </c:pt>
                <c:pt idx="125">
                  <c:v>-0.6502282234241874</c:v>
                </c:pt>
                <c:pt idx="126">
                  <c:v>1.4394493576620475</c:v>
                </c:pt>
                <c:pt idx="127">
                  <c:v>2.9920837610785305</c:v>
                </c:pt>
                <c:pt idx="128">
                  <c:v>2.3703439194085947</c:v>
                </c:pt>
                <c:pt idx="129">
                  <c:v>0.29404488818327618</c:v>
                </c:pt>
                <c:pt idx="130">
                  <c:v>-0.85023272278567275</c:v>
                </c:pt>
                <c:pt idx="131">
                  <c:v>-0.12946385072369374</c:v>
                </c:pt>
                <c:pt idx="132">
                  <c:v>-1.3491273034804494</c:v>
                </c:pt>
                <c:pt idx="133">
                  <c:v>0.36477315922396963</c:v>
                </c:pt>
                <c:pt idx="134">
                  <c:v>0.61847765090370432</c:v>
                </c:pt>
                <c:pt idx="135">
                  <c:v>-0.2181506869468666</c:v>
                </c:pt>
                <c:pt idx="136">
                  <c:v>-0.67175410696722693</c:v>
                </c:pt>
                <c:pt idx="137">
                  <c:v>-5.8748469057672406E-2</c:v>
                </c:pt>
                <c:pt idx="138">
                  <c:v>-0.31395466599271843</c:v>
                </c:pt>
                <c:pt idx="139">
                  <c:v>-0.52834349156829041</c:v>
                </c:pt>
                <c:pt idx="140">
                  <c:v>-0.2936182431007015</c:v>
                </c:pt>
                <c:pt idx="141">
                  <c:v>-0.29078746473836259</c:v>
                </c:pt>
                <c:pt idx="142">
                  <c:v>-0.65996167321265009</c:v>
                </c:pt>
                <c:pt idx="143">
                  <c:v>-0.64605595603098431</c:v>
                </c:pt>
                <c:pt idx="144">
                  <c:v>-0.28401286182374685</c:v>
                </c:pt>
                <c:pt idx="145">
                  <c:v>-0.5851491642321236</c:v>
                </c:pt>
                <c:pt idx="146">
                  <c:v>-0.3009009254857965</c:v>
                </c:pt>
                <c:pt idx="147">
                  <c:v>0.22387444130357184</c:v>
                </c:pt>
                <c:pt idx="148">
                  <c:v>0.44515117260581866</c:v>
                </c:pt>
                <c:pt idx="149">
                  <c:v>-0.45686416699228494</c:v>
                </c:pt>
                <c:pt idx="150">
                  <c:v>-0.25753304688701889</c:v>
                </c:pt>
                <c:pt idx="151">
                  <c:v>-0.89729451345575029</c:v>
                </c:pt>
                <c:pt idx="152">
                  <c:v>6.1862359235943095E-3</c:v>
                </c:pt>
                <c:pt idx="153">
                  <c:v>-0.75292025158416598</c:v>
                </c:pt>
                <c:pt idx="154">
                  <c:v>0.42557147596212808</c:v>
                </c:pt>
                <c:pt idx="155">
                  <c:v>0.28203987695727167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B3-5340-A97B-3766AEEE1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24991487"/>
        <c:axId val="1824993135"/>
      </c:barChart>
      <c:catAx>
        <c:axId val="182499148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24993135"/>
        <c:crosses val="autoZero"/>
        <c:auto val="1"/>
        <c:lblAlgn val="ctr"/>
        <c:lblOffset val="100"/>
        <c:noMultiLvlLbl val="0"/>
      </c:catAx>
      <c:valAx>
        <c:axId val="1824993135"/>
        <c:scaling>
          <c:orientation val="minMax"/>
          <c:max val="5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2499148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Ln(UVolDiG)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33B8-CC4A-A0F7-768D44E7C327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3B8-CC4A-A0F7-768D44E7C327}"/>
              </c:ext>
            </c:extLst>
          </c:dPt>
          <c:dPt>
            <c:idx val="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33B8-CC4A-A0F7-768D44E7C327}"/>
              </c:ext>
            </c:extLst>
          </c:dPt>
          <c:dPt>
            <c:idx val="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3B8-CC4A-A0F7-768D44E7C327}"/>
              </c:ext>
            </c:extLst>
          </c:dPt>
          <c:dPt>
            <c:idx val="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33B8-CC4A-A0F7-768D44E7C327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3B8-CC4A-A0F7-768D44E7C32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6"/>
                <c:pt idx="0">
                  <c:v>9.0432092154162036E-2</c:v>
                </c:pt>
                <c:pt idx="1">
                  <c:v>8.4485770773327085E-2</c:v>
                </c:pt>
                <c:pt idx="2">
                  <c:v>8.7898241761411144E-2</c:v>
                </c:pt>
                <c:pt idx="3">
                  <c:v>8.3413107794159641E-2</c:v>
                </c:pt>
                <c:pt idx="4">
                  <c:v>8.3431528219986145E-2</c:v>
                </c:pt>
                <c:pt idx="5">
                  <c:v>8.7934278554722661E-2</c:v>
                </c:pt>
              </c:numLit>
            </c:plus>
            <c:minus>
              <c:numLit>
                <c:formatCode>General</c:formatCode>
                <c:ptCount val="6"/>
                <c:pt idx="0">
                  <c:v>9.0432092154162036E-2</c:v>
                </c:pt>
                <c:pt idx="1">
                  <c:v>8.4485770773327057E-2</c:v>
                </c:pt>
                <c:pt idx="2">
                  <c:v>8.7898241761411144E-2</c:v>
                </c:pt>
                <c:pt idx="3">
                  <c:v>8.3413107794159641E-2</c:v>
                </c:pt>
                <c:pt idx="4">
                  <c:v>8.3431528219986145E-2</c:v>
                </c:pt>
                <c:pt idx="5">
                  <c:v>8.7934278554722661E-2</c:v>
                </c:pt>
              </c:numLit>
            </c:minus>
          </c:errBars>
          <c:cat>
            <c:strRef>
              <c:f>'Regr-SalesDiG'!$B$82:$B$87</c:f>
              <c:strCache>
                <c:ptCount val="6"/>
                <c:pt idx="0">
                  <c:v>Ln(PriceDiG)</c:v>
                </c:pt>
                <c:pt idx="1">
                  <c:v>Ln(PriceFre)</c:v>
                </c:pt>
                <c:pt idx="2">
                  <c:v>Ln(PriceJO)</c:v>
                </c:pt>
                <c:pt idx="3">
                  <c:v>Ln(PriceRB)</c:v>
                </c:pt>
                <c:pt idx="4">
                  <c:v>Ln(PriceTomb)</c:v>
                </c:pt>
                <c:pt idx="5">
                  <c:v>Ln(PriceTO)</c:v>
                </c:pt>
              </c:strCache>
            </c:strRef>
          </c:cat>
          <c:val>
            <c:numRef>
              <c:f>'Regr-SalesDiG'!$C$82:$C$87</c:f>
              <c:numCache>
                <c:formatCode>0.000</c:formatCode>
                <c:ptCount val="6"/>
                <c:pt idx="0">
                  <c:v>-0.8070867219063258</c:v>
                </c:pt>
                <c:pt idx="1">
                  <c:v>0.2629129817794853</c:v>
                </c:pt>
                <c:pt idx="2">
                  <c:v>1.7234516157087036E-2</c:v>
                </c:pt>
                <c:pt idx="3">
                  <c:v>-2.1984410422082462E-2</c:v>
                </c:pt>
                <c:pt idx="4">
                  <c:v>-3.335559921131788E-2</c:v>
                </c:pt>
                <c:pt idx="5">
                  <c:v>-3.7669796132925988E-2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B8-CC4A-A0F7-768D44E7C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11525519"/>
        <c:axId val="1811331887"/>
      </c:barChart>
      <c:catAx>
        <c:axId val="1811525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11331887"/>
        <c:crosses val="autoZero"/>
        <c:auto val="1"/>
        <c:lblAlgn val="ctr"/>
        <c:lblOffset val="100"/>
        <c:noMultiLvlLbl val="0"/>
      </c:catAx>
      <c:valAx>
        <c:axId val="181133188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1152551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Ln(UVolDiG)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'Regr-SalesDiG'!$D$115:$D$270</c:f>
              <c:numCache>
                <c:formatCode>0.000</c:formatCode>
                <c:ptCount val="156"/>
                <c:pt idx="0">
                  <c:v>8.908424139496578</c:v>
                </c:pt>
                <c:pt idx="1">
                  <c:v>8.6518988942685287</c:v>
                </c:pt>
                <c:pt idx="2">
                  <c:v>8.7134176533791834</c:v>
                </c:pt>
                <c:pt idx="3">
                  <c:v>8.6936643345320164</c:v>
                </c:pt>
                <c:pt idx="4">
                  <c:v>8.8539511015146104</c:v>
                </c:pt>
                <c:pt idx="5">
                  <c:v>8.7382545765261224</c:v>
                </c:pt>
                <c:pt idx="6">
                  <c:v>9.204825191288073</c:v>
                </c:pt>
                <c:pt idx="7">
                  <c:v>10.028224133937455</c:v>
                </c:pt>
                <c:pt idx="8">
                  <c:v>9.7814329065288224</c:v>
                </c:pt>
                <c:pt idx="9">
                  <c:v>8.8152215559221627</c:v>
                </c:pt>
                <c:pt idx="10">
                  <c:v>9.1700390752026575</c:v>
                </c:pt>
                <c:pt idx="11">
                  <c:v>8.6114118666552191</c:v>
                </c:pt>
                <c:pt idx="12">
                  <c:v>8.6020856584342003</c:v>
                </c:pt>
                <c:pt idx="13">
                  <c:v>8.5906295094894194</c:v>
                </c:pt>
                <c:pt idx="14">
                  <c:v>8.596928159435091</c:v>
                </c:pt>
                <c:pt idx="15">
                  <c:v>9.5435214844991823</c:v>
                </c:pt>
                <c:pt idx="16">
                  <c:v>8.5049181605406243</c:v>
                </c:pt>
                <c:pt idx="17">
                  <c:v>8.6459381473067989</c:v>
                </c:pt>
                <c:pt idx="18">
                  <c:v>8.9235911975730016</c:v>
                </c:pt>
                <c:pt idx="19">
                  <c:v>9.8271463192794055</c:v>
                </c:pt>
                <c:pt idx="20">
                  <c:v>9.6589288244664342</c:v>
                </c:pt>
                <c:pt idx="21">
                  <c:v>8.3471163610387205</c:v>
                </c:pt>
                <c:pt idx="22">
                  <c:v>8.5308988384723499</c:v>
                </c:pt>
                <c:pt idx="23">
                  <c:v>8.4060381420500754</c:v>
                </c:pt>
                <c:pt idx="24">
                  <c:v>8.4815660137730866</c:v>
                </c:pt>
                <c:pt idx="25">
                  <c:v>9.2478288163871749</c:v>
                </c:pt>
                <c:pt idx="26">
                  <c:v>8.6469926289510823</c:v>
                </c:pt>
                <c:pt idx="27">
                  <c:v>8.6410024771425231</c:v>
                </c:pt>
                <c:pt idx="28">
                  <c:v>8.6229936103024496</c:v>
                </c:pt>
                <c:pt idx="29">
                  <c:v>9.0854571898294925</c:v>
                </c:pt>
                <c:pt idx="30">
                  <c:v>9.6000147941780227</c:v>
                </c:pt>
                <c:pt idx="31">
                  <c:v>9.3712680360824656</c:v>
                </c:pt>
                <c:pt idx="32">
                  <c:v>8.5442245304672682</c:v>
                </c:pt>
                <c:pt idx="33">
                  <c:v>8.475328987317539</c:v>
                </c:pt>
                <c:pt idx="34">
                  <c:v>8.5203880823127562</c:v>
                </c:pt>
                <c:pt idx="35">
                  <c:v>8.5024855625439635</c:v>
                </c:pt>
                <c:pt idx="36">
                  <c:v>8.3834332012367128</c:v>
                </c:pt>
                <c:pt idx="37">
                  <c:v>8.3834332012367128</c:v>
                </c:pt>
                <c:pt idx="38">
                  <c:v>8.6417090661138047</c:v>
                </c:pt>
                <c:pt idx="39">
                  <c:v>8.6258682080418936</c:v>
                </c:pt>
                <c:pt idx="40">
                  <c:v>8.3128713943426149</c:v>
                </c:pt>
                <c:pt idx="41">
                  <c:v>8.2308435641982349</c:v>
                </c:pt>
                <c:pt idx="42">
                  <c:v>8.7498909555352586</c:v>
                </c:pt>
                <c:pt idx="43">
                  <c:v>9.5696219157798659</c:v>
                </c:pt>
                <c:pt idx="44">
                  <c:v>9.3658044746002549</c:v>
                </c:pt>
                <c:pt idx="45">
                  <c:v>8.1484456662432354</c:v>
                </c:pt>
                <c:pt idx="46">
                  <c:v>9.9806800483660343</c:v>
                </c:pt>
                <c:pt idx="47">
                  <c:v>8.3140973354058065</c:v>
                </c:pt>
                <c:pt idx="48">
                  <c:v>8.3072126266283082</c:v>
                </c:pt>
                <c:pt idx="49">
                  <c:v>8.1956095672887752</c:v>
                </c:pt>
                <c:pt idx="50">
                  <c:v>8.2915465098839096</c:v>
                </c:pt>
                <c:pt idx="51">
                  <c:v>8.1718820061278201</c:v>
                </c:pt>
                <c:pt idx="52">
                  <c:v>8.1440984633385245</c:v>
                </c:pt>
                <c:pt idx="53">
                  <c:v>8.6738550014296152</c:v>
                </c:pt>
                <c:pt idx="54">
                  <c:v>9.8013440788674249</c:v>
                </c:pt>
                <c:pt idx="55">
                  <c:v>9.4551671341215346</c:v>
                </c:pt>
                <c:pt idx="56">
                  <c:v>8.2915465098839096</c:v>
                </c:pt>
                <c:pt idx="57">
                  <c:v>8.2566073446261576</c:v>
                </c:pt>
                <c:pt idx="58">
                  <c:v>8.3645081037505893</c:v>
                </c:pt>
                <c:pt idx="59">
                  <c:v>8.1521980158617868</c:v>
                </c:pt>
                <c:pt idx="60">
                  <c:v>8.3182543287988455</c:v>
                </c:pt>
                <c:pt idx="61">
                  <c:v>8.2942996088572354</c:v>
                </c:pt>
                <c:pt idx="62">
                  <c:v>8.9334003960563031</c:v>
                </c:pt>
                <c:pt idx="63">
                  <c:v>9.6159388045295824</c:v>
                </c:pt>
                <c:pt idx="64">
                  <c:v>9.2842411798157176</c:v>
                </c:pt>
                <c:pt idx="65">
                  <c:v>8.035602692918582</c:v>
                </c:pt>
                <c:pt idx="66">
                  <c:v>8.0894824743607536</c:v>
                </c:pt>
                <c:pt idx="67">
                  <c:v>7.9490914998305167</c:v>
                </c:pt>
                <c:pt idx="68">
                  <c:v>8.2852611340689482</c:v>
                </c:pt>
                <c:pt idx="69">
                  <c:v>8.9463748261417173</c:v>
                </c:pt>
                <c:pt idx="70">
                  <c:v>8.1208860210928382</c:v>
                </c:pt>
                <c:pt idx="71">
                  <c:v>9.1555673461288904</c:v>
                </c:pt>
                <c:pt idx="72">
                  <c:v>9.6006918422742995</c:v>
                </c:pt>
                <c:pt idx="73">
                  <c:v>9.5079975274500423</c:v>
                </c:pt>
                <c:pt idx="74">
                  <c:v>8.0186254650457496</c:v>
                </c:pt>
                <c:pt idx="75">
                  <c:v>7.9892214088152764</c:v>
                </c:pt>
                <c:pt idx="76">
                  <c:v>7.959275960116396</c:v>
                </c:pt>
                <c:pt idx="77">
                  <c:v>8.92172453036431</c:v>
                </c:pt>
                <c:pt idx="78">
                  <c:v>9.4219779831041901</c:v>
                </c:pt>
                <c:pt idx="79">
                  <c:v>9.3085554194731372</c:v>
                </c:pt>
                <c:pt idx="80">
                  <c:v>8.0836372031415475</c:v>
                </c:pt>
                <c:pt idx="81">
                  <c:v>7.9405838271042439</c:v>
                </c:pt>
                <c:pt idx="82">
                  <c:v>7.959275960116396</c:v>
                </c:pt>
                <c:pt idx="83">
                  <c:v>7.9529667909231314</c:v>
                </c:pt>
                <c:pt idx="84">
                  <c:v>8.0106915391303009</c:v>
                </c:pt>
                <c:pt idx="85">
                  <c:v>7.959275960116396</c:v>
                </c:pt>
                <c:pt idx="86">
                  <c:v>7.9550742732626958</c:v>
                </c:pt>
                <c:pt idx="87">
                  <c:v>7.9871847482334726</c:v>
                </c:pt>
                <c:pt idx="88">
                  <c:v>8.910720661951359</c:v>
                </c:pt>
                <c:pt idx="89">
                  <c:v>9.3913277057569999</c:v>
                </c:pt>
                <c:pt idx="90">
                  <c:v>9.2575101764525733</c:v>
                </c:pt>
                <c:pt idx="91">
                  <c:v>8.0500654229159654</c:v>
                </c:pt>
                <c:pt idx="92">
                  <c:v>8.1510449456850242</c:v>
                </c:pt>
                <c:pt idx="93">
                  <c:v>8.0968174705723186</c:v>
                </c:pt>
                <c:pt idx="94">
                  <c:v>8.007034012193408</c:v>
                </c:pt>
                <c:pt idx="95">
                  <c:v>8.0580108008020854</c:v>
                </c:pt>
                <c:pt idx="96">
                  <c:v>10.347339693048996</c:v>
                </c:pt>
                <c:pt idx="97">
                  <c:v>8.17413934342947</c:v>
                </c:pt>
                <c:pt idx="98">
                  <c:v>8.0949887593037744</c:v>
                </c:pt>
                <c:pt idx="99">
                  <c:v>8.0618022745383477</c:v>
                </c:pt>
                <c:pt idx="100">
                  <c:v>8.9699234919915156</c:v>
                </c:pt>
                <c:pt idx="101">
                  <c:v>8.8602153589011827</c:v>
                </c:pt>
                <c:pt idx="102">
                  <c:v>9.5648630013467724</c:v>
                </c:pt>
                <c:pt idx="103">
                  <c:v>9.3424207123333911</c:v>
                </c:pt>
                <c:pt idx="104">
                  <c:v>8.3654396361887002</c:v>
                </c:pt>
                <c:pt idx="105">
                  <c:v>9.1143799808302717</c:v>
                </c:pt>
                <c:pt idx="106">
                  <c:v>8.2190566610605984</c:v>
                </c:pt>
                <c:pt idx="107">
                  <c:v>8.2514030653805559</c:v>
                </c:pt>
                <c:pt idx="108">
                  <c:v>8.3614746164168174</c:v>
                </c:pt>
                <c:pt idx="109">
                  <c:v>8.4751204149943291</c:v>
                </c:pt>
                <c:pt idx="110">
                  <c:v>8.3380665255188013</c:v>
                </c:pt>
                <c:pt idx="111">
                  <c:v>8.2620428439669418</c:v>
                </c:pt>
                <c:pt idx="112">
                  <c:v>9.2450316117661124</c:v>
                </c:pt>
                <c:pt idx="113">
                  <c:v>8.2545288819397449</c:v>
                </c:pt>
                <c:pt idx="114">
                  <c:v>8.9123385671175477</c:v>
                </c:pt>
                <c:pt idx="115">
                  <c:v>9.6019093748922355</c:v>
                </c:pt>
                <c:pt idx="116">
                  <c:v>9.2252289844699327</c:v>
                </c:pt>
                <c:pt idx="117">
                  <c:v>8.2002882602875538</c:v>
                </c:pt>
                <c:pt idx="118">
                  <c:v>9.2325909809110023</c:v>
                </c:pt>
                <c:pt idx="119">
                  <c:v>8.1939530235637417</c:v>
                </c:pt>
                <c:pt idx="120">
                  <c:v>9.3957405183797356</c:v>
                </c:pt>
                <c:pt idx="121">
                  <c:v>8.2870250251650628</c:v>
                </c:pt>
                <c:pt idx="122">
                  <c:v>8.2766491254218604</c:v>
                </c:pt>
                <c:pt idx="123">
                  <c:v>9.1200873829986211</c:v>
                </c:pt>
                <c:pt idx="124">
                  <c:v>9.8698790613622993</c:v>
                </c:pt>
                <c:pt idx="125">
                  <c:v>9.6019093748922355</c:v>
                </c:pt>
                <c:pt idx="126">
                  <c:v>8.0459087422707789</c:v>
                </c:pt>
                <c:pt idx="127">
                  <c:v>8.034631032923107</c:v>
                </c:pt>
                <c:pt idx="128">
                  <c:v>8.0023595462527073</c:v>
                </c:pt>
                <c:pt idx="129">
                  <c:v>8.7610801038683466</c:v>
                </c:pt>
                <c:pt idx="130">
                  <c:v>9.2398991742177277</c:v>
                </c:pt>
                <c:pt idx="131">
                  <c:v>9.062652099076578</c:v>
                </c:pt>
                <c:pt idx="132">
                  <c:v>8.1001614469366068</c:v>
                </c:pt>
                <c:pt idx="133">
                  <c:v>8.9376125913062126</c:v>
                </c:pt>
                <c:pt idx="134">
                  <c:v>8.173293438966228</c:v>
                </c:pt>
                <c:pt idx="135">
                  <c:v>8.0336584278861505</c:v>
                </c:pt>
                <c:pt idx="136">
                  <c:v>8.9791646489647086</c:v>
                </c:pt>
                <c:pt idx="137">
                  <c:v>8.0845624152353039</c:v>
                </c:pt>
                <c:pt idx="138">
                  <c:v>8.1253350867142906</c:v>
                </c:pt>
                <c:pt idx="139">
                  <c:v>8.0159878110272373</c:v>
                </c:pt>
                <c:pt idx="140">
                  <c:v>8.6581717846758099</c:v>
                </c:pt>
                <c:pt idx="141">
                  <c:v>9.1091931899712257</c:v>
                </c:pt>
                <c:pt idx="142">
                  <c:v>8.9818073233775344</c:v>
                </c:pt>
                <c:pt idx="143">
                  <c:v>8.1975387397211836</c:v>
                </c:pt>
                <c:pt idx="144">
                  <c:v>8.1140254423567573</c:v>
                </c:pt>
                <c:pt idx="145">
                  <c:v>8.1886891244442008</c:v>
                </c:pt>
                <c:pt idx="146">
                  <c:v>9.0935818113659863</c:v>
                </c:pt>
                <c:pt idx="147">
                  <c:v>9.5666152358935754</c:v>
                </c:pt>
                <c:pt idx="148">
                  <c:v>9.4662221318781654</c:v>
                </c:pt>
                <c:pt idx="149">
                  <c:v>8.1397322797176699</c:v>
                </c:pt>
                <c:pt idx="150">
                  <c:v>8.2464337861603649</c:v>
                </c:pt>
                <c:pt idx="151">
                  <c:v>8.1684864171266813</c:v>
                </c:pt>
                <c:pt idx="152">
                  <c:v>8.144969417087875</c:v>
                </c:pt>
                <c:pt idx="153">
                  <c:v>8.1146238864200981</c:v>
                </c:pt>
                <c:pt idx="154">
                  <c:v>8.1738574547736214</c:v>
                </c:pt>
                <c:pt idx="155">
                  <c:v>8.1262225294585253</c:v>
                </c:pt>
              </c:numCache>
            </c:numRef>
          </c:xVal>
          <c:yVal>
            <c:numRef>
              <c:f>'Regr-SalesDiG'!$G$115:$G$270</c:f>
              <c:numCache>
                <c:formatCode>0.000</c:formatCode>
                <c:ptCount val="156"/>
                <c:pt idx="0">
                  <c:v>-0.17832459251369651</c:v>
                </c:pt>
                <c:pt idx="1">
                  <c:v>-0.89860413366276937</c:v>
                </c:pt>
                <c:pt idx="2">
                  <c:v>-0.1066569589103936</c:v>
                </c:pt>
                <c:pt idx="3">
                  <c:v>-0.61814748182127488</c:v>
                </c:pt>
                <c:pt idx="4">
                  <c:v>-0.34543869351134016</c:v>
                </c:pt>
                <c:pt idx="5">
                  <c:v>-0.82629731950342267</c:v>
                </c:pt>
                <c:pt idx="6">
                  <c:v>0.25915857087543087</c:v>
                </c:pt>
                <c:pt idx="7">
                  <c:v>2.2705020512686551</c:v>
                </c:pt>
                <c:pt idx="8">
                  <c:v>1.4055883128046101</c:v>
                </c:pt>
                <c:pt idx="9">
                  <c:v>-0.47198205595504983</c:v>
                </c:pt>
                <c:pt idx="10">
                  <c:v>-0.79288119317376449</c:v>
                </c:pt>
                <c:pt idx="11">
                  <c:v>-1.0619958989854199</c:v>
                </c:pt>
                <c:pt idx="12">
                  <c:v>-0.89776502711741946</c:v>
                </c:pt>
                <c:pt idx="13">
                  <c:v>-1.2026777261753652</c:v>
                </c:pt>
                <c:pt idx="14">
                  <c:v>-1.2036607238923112</c:v>
                </c:pt>
                <c:pt idx="15">
                  <c:v>0.95945399250113372</c:v>
                </c:pt>
                <c:pt idx="16">
                  <c:v>-1.4730969557039724</c:v>
                </c:pt>
                <c:pt idx="17">
                  <c:v>-1.1292853661092472</c:v>
                </c:pt>
                <c:pt idx="18">
                  <c:v>-0.67740169050967391</c:v>
                </c:pt>
                <c:pt idx="19">
                  <c:v>1.5018236056015692</c:v>
                </c:pt>
                <c:pt idx="20">
                  <c:v>0.94367098119596704</c:v>
                </c:pt>
                <c:pt idx="21">
                  <c:v>-2.0042502862469052</c:v>
                </c:pt>
                <c:pt idx="22">
                  <c:v>-1.0730074294868988</c:v>
                </c:pt>
                <c:pt idx="23">
                  <c:v>-1.1097848581623606</c:v>
                </c:pt>
                <c:pt idx="24">
                  <c:v>-0.91083837333717965</c:v>
                </c:pt>
                <c:pt idx="25">
                  <c:v>-0.49227930247005763</c:v>
                </c:pt>
                <c:pt idx="26">
                  <c:v>-1.1664377809442583</c:v>
                </c:pt>
                <c:pt idx="27">
                  <c:v>-0.97669011728982402</c:v>
                </c:pt>
                <c:pt idx="28">
                  <c:v>-1.0714503700988423</c:v>
                </c:pt>
                <c:pt idx="29">
                  <c:v>-0.22799786101266301</c:v>
                </c:pt>
                <c:pt idx="30">
                  <c:v>0.91518776136300795</c:v>
                </c:pt>
                <c:pt idx="31">
                  <c:v>0.1266142804485374</c:v>
                </c:pt>
                <c:pt idx="32">
                  <c:v>-0.75755153666024644</c:v>
                </c:pt>
                <c:pt idx="33">
                  <c:v>-1.4076906309700048</c:v>
                </c:pt>
                <c:pt idx="34">
                  <c:v>-1.453543708208483</c:v>
                </c:pt>
                <c:pt idx="35">
                  <c:v>-1.460234781734516</c:v>
                </c:pt>
                <c:pt idx="36">
                  <c:v>-0.23680233797185127</c:v>
                </c:pt>
                <c:pt idx="37">
                  <c:v>0.26606550761797654</c:v>
                </c:pt>
                <c:pt idx="38">
                  <c:v>-1.1344191042874283</c:v>
                </c:pt>
                <c:pt idx="39">
                  <c:v>-1.0688550877447276</c:v>
                </c:pt>
                <c:pt idx="40">
                  <c:v>-0.5088840070893188</c:v>
                </c:pt>
                <c:pt idx="41">
                  <c:v>-0.17991877448263938</c:v>
                </c:pt>
                <c:pt idx="42">
                  <c:v>0.51051894739822068</c:v>
                </c:pt>
                <c:pt idx="43">
                  <c:v>-0.27532012941518691</c:v>
                </c:pt>
                <c:pt idx="44">
                  <c:v>0.35387359277267155</c:v>
                </c:pt>
                <c:pt idx="45">
                  <c:v>-0.45003931572450523</c:v>
                </c:pt>
                <c:pt idx="46">
                  <c:v>0.43421070207950291</c:v>
                </c:pt>
                <c:pt idx="47">
                  <c:v>-0.50197140629046522</c:v>
                </c:pt>
                <c:pt idx="48">
                  <c:v>0.48798714854205011</c:v>
                </c:pt>
                <c:pt idx="49">
                  <c:v>4.5620747276087267E-2</c:v>
                </c:pt>
                <c:pt idx="50">
                  <c:v>0.34601845489451671</c:v>
                </c:pt>
                <c:pt idx="51">
                  <c:v>0.63236003700029086</c:v>
                </c:pt>
                <c:pt idx="52">
                  <c:v>-0.10978845210366962</c:v>
                </c:pt>
                <c:pt idx="53">
                  <c:v>0.56654611174313596</c:v>
                </c:pt>
                <c:pt idx="54">
                  <c:v>1.7337933574906119</c:v>
                </c:pt>
                <c:pt idx="55">
                  <c:v>0.64826434097801855</c:v>
                </c:pt>
                <c:pt idx="56">
                  <c:v>0.67448987480174583</c:v>
                </c:pt>
                <c:pt idx="57">
                  <c:v>0.33184897281502612</c:v>
                </c:pt>
                <c:pt idx="58">
                  <c:v>1.0464176626004298</c:v>
                </c:pt>
                <c:pt idx="59">
                  <c:v>0.38524749427173177</c:v>
                </c:pt>
                <c:pt idx="60">
                  <c:v>0.83420371423389195</c:v>
                </c:pt>
                <c:pt idx="61">
                  <c:v>6.4748667304419263E-2</c:v>
                </c:pt>
                <c:pt idx="62">
                  <c:v>0.28269480774088906</c:v>
                </c:pt>
                <c:pt idx="63">
                  <c:v>-5.3825011696838843E-2</c:v>
                </c:pt>
                <c:pt idx="64">
                  <c:v>-0.8885594554135815</c:v>
                </c:pt>
                <c:pt idx="65">
                  <c:v>-1.0941145721128784</c:v>
                </c:pt>
                <c:pt idx="66">
                  <c:v>-0.71772362092229547</c:v>
                </c:pt>
                <c:pt idx="67">
                  <c:v>-0.36684912736513997</c:v>
                </c:pt>
                <c:pt idx="68">
                  <c:v>-1.0293268489994485</c:v>
                </c:pt>
                <c:pt idx="69">
                  <c:v>2.0052688431089547</c:v>
                </c:pt>
                <c:pt idx="70">
                  <c:v>-0.75140199039015165</c:v>
                </c:pt>
                <c:pt idx="71">
                  <c:v>-0.29091464017165236</c:v>
                </c:pt>
                <c:pt idx="72">
                  <c:v>0.17651060489146467</c:v>
                </c:pt>
                <c:pt idx="73">
                  <c:v>0.39656564982130338</c:v>
                </c:pt>
                <c:pt idx="74">
                  <c:v>-1.179324898078419</c:v>
                </c:pt>
                <c:pt idx="75">
                  <c:v>-0.8984942058130102</c:v>
                </c:pt>
                <c:pt idx="76">
                  <c:v>-1.1616419736373296</c:v>
                </c:pt>
                <c:pt idx="77">
                  <c:v>0.78849666633213189</c:v>
                </c:pt>
                <c:pt idx="78">
                  <c:v>1.7973145135854791</c:v>
                </c:pt>
                <c:pt idx="79">
                  <c:v>1.7982922174837679</c:v>
                </c:pt>
                <c:pt idx="80">
                  <c:v>-0.87964538894866895</c:v>
                </c:pt>
                <c:pt idx="81">
                  <c:v>-0.57739096607863394</c:v>
                </c:pt>
                <c:pt idx="82">
                  <c:v>-0.74479638960342698</c:v>
                </c:pt>
                <c:pt idx="83">
                  <c:v>-1.1739016657944243</c:v>
                </c:pt>
                <c:pt idx="84">
                  <c:v>-0.93552634686427039</c:v>
                </c:pt>
                <c:pt idx="85">
                  <c:v>-1.244747753523894</c:v>
                </c:pt>
                <c:pt idx="86">
                  <c:v>-0.45743306757015673</c:v>
                </c:pt>
                <c:pt idx="87">
                  <c:v>-1.059218366599894</c:v>
                </c:pt>
                <c:pt idx="88">
                  <c:v>-0.63884061987331076</c:v>
                </c:pt>
                <c:pt idx="89">
                  <c:v>0.28240680799864926</c:v>
                </c:pt>
                <c:pt idx="90">
                  <c:v>-0.24815519095165631</c:v>
                </c:pt>
                <c:pt idx="91">
                  <c:v>-0.18735812171582683</c:v>
                </c:pt>
                <c:pt idx="92">
                  <c:v>-0.34051470915248067</c:v>
                </c:pt>
                <c:pt idx="93">
                  <c:v>-0.72379059160943415</c:v>
                </c:pt>
                <c:pt idx="94">
                  <c:v>-0.92944349261583137</c:v>
                </c:pt>
                <c:pt idx="95">
                  <c:v>-0.44830010035174755</c:v>
                </c:pt>
                <c:pt idx="96">
                  <c:v>-0.54172272479911576</c:v>
                </c:pt>
                <c:pt idx="97">
                  <c:v>-1.6897797368762853E-2</c:v>
                </c:pt>
                <c:pt idx="98">
                  <c:v>0.59243178718713496</c:v>
                </c:pt>
                <c:pt idx="99">
                  <c:v>0.44423783538291306</c:v>
                </c:pt>
                <c:pt idx="100">
                  <c:v>-0.46612372566627347</c:v>
                </c:pt>
                <c:pt idx="101">
                  <c:v>0.11822087170637929</c:v>
                </c:pt>
                <c:pt idx="102">
                  <c:v>2.0500158482747732</c:v>
                </c:pt>
                <c:pt idx="103">
                  <c:v>1.4176175048310418</c:v>
                </c:pt>
                <c:pt idx="104">
                  <c:v>-2.7515280591084958E-2</c:v>
                </c:pt>
                <c:pt idx="105">
                  <c:v>0.35780767425621524</c:v>
                </c:pt>
                <c:pt idx="106">
                  <c:v>-1.2506932854951025E-2</c:v>
                </c:pt>
                <c:pt idx="107">
                  <c:v>0.2356762840645458</c:v>
                </c:pt>
                <c:pt idx="108">
                  <c:v>5.678903323748782E-3</c:v>
                </c:pt>
                <c:pt idx="109">
                  <c:v>0.48855961532572101</c:v>
                </c:pt>
                <c:pt idx="110">
                  <c:v>0.15762771306535464</c:v>
                </c:pt>
                <c:pt idx="111">
                  <c:v>0.33098338579246633</c:v>
                </c:pt>
                <c:pt idx="112">
                  <c:v>0.58792958381685079</c:v>
                </c:pt>
                <c:pt idx="113">
                  <c:v>-0.99274385499523066</c:v>
                </c:pt>
                <c:pt idx="114">
                  <c:v>-8.4278812217621374E-2</c:v>
                </c:pt>
                <c:pt idx="115">
                  <c:v>1.4732204927100663</c:v>
                </c:pt>
                <c:pt idx="116">
                  <c:v>0.42409519786929295</c:v>
                </c:pt>
                <c:pt idx="117">
                  <c:v>-0.46064514181809613</c:v>
                </c:pt>
                <c:pt idx="118">
                  <c:v>0.61777921703604821</c:v>
                </c:pt>
                <c:pt idx="119">
                  <c:v>-0.15735473217333329</c:v>
                </c:pt>
                <c:pt idx="120">
                  <c:v>-0.28136792268481831</c:v>
                </c:pt>
                <c:pt idx="121">
                  <c:v>-0.29131350819187446</c:v>
                </c:pt>
                <c:pt idx="122">
                  <c:v>-5.9680392525525421E-2</c:v>
                </c:pt>
                <c:pt idx="123">
                  <c:v>2.0891155305353024</c:v>
                </c:pt>
                <c:pt idx="124">
                  <c:v>4.4906937054687814</c:v>
                </c:pt>
                <c:pt idx="125">
                  <c:v>3.6002998520998717</c:v>
                </c:pt>
                <c:pt idx="126">
                  <c:v>-0.75640928833711529</c:v>
                </c:pt>
                <c:pt idx="127">
                  <c:v>-0.80592065761154075</c:v>
                </c:pt>
                <c:pt idx="128">
                  <c:v>-1.0201627189325946</c:v>
                </c:pt>
                <c:pt idx="129">
                  <c:v>0.26445386763329143</c:v>
                </c:pt>
                <c:pt idx="130">
                  <c:v>1.6510518820139448</c:v>
                </c:pt>
                <c:pt idx="131">
                  <c:v>0.88579583382388694</c:v>
                </c:pt>
                <c:pt idx="132">
                  <c:v>-0.84900585411626861</c:v>
                </c:pt>
                <c:pt idx="133">
                  <c:v>0.64767475865690383</c:v>
                </c:pt>
                <c:pt idx="134">
                  <c:v>0.92847208856603713</c:v>
                </c:pt>
                <c:pt idx="135">
                  <c:v>0.45984604415296204</c:v>
                </c:pt>
                <c:pt idx="136">
                  <c:v>-0.52252584257866153</c:v>
                </c:pt>
                <c:pt idx="137">
                  <c:v>0.8300177225870029</c:v>
                </c:pt>
                <c:pt idx="138">
                  <c:v>-0.65629499063783314</c:v>
                </c:pt>
                <c:pt idx="139">
                  <c:v>-0.31886976034840264</c:v>
                </c:pt>
                <c:pt idx="140">
                  <c:v>0.34450618217766998</c:v>
                </c:pt>
                <c:pt idx="141">
                  <c:v>1.302928803953779</c:v>
                </c:pt>
                <c:pt idx="142">
                  <c:v>0.98111786763124587</c:v>
                </c:pt>
                <c:pt idx="143">
                  <c:v>-0.45369380767920126</c:v>
                </c:pt>
                <c:pt idx="144">
                  <c:v>0.36525888467731527</c:v>
                </c:pt>
                <c:pt idx="145">
                  <c:v>-0.27981923254651281</c:v>
                </c:pt>
                <c:pt idx="146">
                  <c:v>0.52857595297156068</c:v>
                </c:pt>
                <c:pt idx="147">
                  <c:v>1.1188102654856684</c:v>
                </c:pt>
                <c:pt idx="148">
                  <c:v>0.71383909568756665</c:v>
                </c:pt>
                <c:pt idx="149">
                  <c:v>-0.19880187179573805</c:v>
                </c:pt>
                <c:pt idx="150">
                  <c:v>-0.48537132566973323</c:v>
                </c:pt>
                <c:pt idx="151">
                  <c:v>1.2219975028287799</c:v>
                </c:pt>
                <c:pt idx="152">
                  <c:v>-2.4510615648352961E-2</c:v>
                </c:pt>
                <c:pt idx="153">
                  <c:v>0.55441735932811287</c:v>
                </c:pt>
                <c:pt idx="154">
                  <c:v>0.96753843033973419</c:v>
                </c:pt>
                <c:pt idx="155">
                  <c:v>0.72668883081543312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79-364B-AB87-99C9EC268BC7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8.6518988942685287</c:v>
              </c:pt>
            </c:numLit>
          </c:xVal>
          <c:yVal>
            <c:numLit>
              <c:formatCode>General</c:formatCode>
              <c:ptCount val="1"/>
              <c:pt idx="0">
                <c:v>-0.89860413366276937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F79-364B-AB87-99C9EC268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579951"/>
        <c:axId val="1779707279"/>
      </c:scatterChart>
      <c:valAx>
        <c:axId val="1808579951"/>
        <c:scaling>
          <c:orientation val="minMax"/>
          <c:max val="10.5"/>
          <c:min val="7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Ln(UVolDiG)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79707279"/>
        <c:crosses val="autoZero"/>
        <c:crossBetween val="midCat"/>
      </c:valAx>
      <c:valAx>
        <c:axId val="1779707279"/>
        <c:scaling>
          <c:orientation val="minMax"/>
          <c:max val="5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0857995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Pred(Ln(UVolDiG))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'Regr-SalesDiG'!$E$115:$E$270</c:f>
              <c:numCache>
                <c:formatCode>0.000</c:formatCode>
                <c:ptCount val="156"/>
                <c:pt idx="0">
                  <c:v>8.9615130883498058</c:v>
                </c:pt>
                <c:pt idx="1">
                  <c:v>8.9194220004136202</c:v>
                </c:pt>
                <c:pt idx="2">
                  <c:v>8.7451704573902163</c:v>
                </c:pt>
                <c:pt idx="3">
                  <c:v>8.8776927940034192</c:v>
                </c:pt>
                <c:pt idx="4">
                  <c:v>8.9567915279148043</c:v>
                </c:pt>
                <c:pt idx="5">
                  <c:v>8.9842512476207563</c:v>
                </c:pt>
                <c:pt idx="6">
                  <c:v>9.1276711884658059</c:v>
                </c:pt>
                <c:pt idx="7">
                  <c:v>9.3522738032970398</c:v>
                </c:pt>
                <c:pt idx="8">
                  <c:v>9.3629757268695037</c:v>
                </c:pt>
                <c:pt idx="9">
                  <c:v>8.9557351602154931</c:v>
                </c:pt>
                <c:pt idx="10">
                  <c:v>9.4060874436174355</c:v>
                </c:pt>
                <c:pt idx="11">
                  <c:v>8.927578275162471</c:v>
                </c:pt>
                <c:pt idx="12">
                  <c:v>8.8693589544782814</c:v>
                </c:pt>
                <c:pt idx="13">
                  <c:v>8.9486782530295805</c:v>
                </c:pt>
                <c:pt idx="14">
                  <c:v>8.9552695508640383</c:v>
                </c:pt>
                <c:pt idx="15">
                  <c:v>9.2578827892586162</c:v>
                </c:pt>
                <c:pt idx="16">
                  <c:v>8.9434733134492568</c:v>
                </c:pt>
                <c:pt idx="17">
                  <c:v>8.9821372783238385</c:v>
                </c:pt>
                <c:pt idx="18">
                  <c:v>9.1252602057205792</c:v>
                </c:pt>
                <c:pt idx="19">
                  <c:v>9.3800389659948156</c:v>
                </c:pt>
                <c:pt idx="20">
                  <c:v>9.3779888837168706</c:v>
                </c:pt>
                <c:pt idx="21">
                  <c:v>8.9438009766362949</c:v>
                </c:pt>
                <c:pt idx="22">
                  <c:v>8.8503434856753884</c:v>
                </c:pt>
                <c:pt idx="23">
                  <c:v>8.7364317840181229</c:v>
                </c:pt>
                <c:pt idx="24">
                  <c:v>8.7527313709121515</c:v>
                </c:pt>
                <c:pt idx="25">
                  <c:v>9.394385106475589</c:v>
                </c:pt>
                <c:pt idx="26">
                  <c:v>8.9942523917247783</c:v>
                </c:pt>
                <c:pt idx="27">
                  <c:v>8.9317725327548469</c:v>
                </c:pt>
                <c:pt idx="28">
                  <c:v>8.9419747059277235</c:v>
                </c:pt>
                <c:pt idx="29">
                  <c:v>9.1533343491787669</c:v>
                </c:pt>
                <c:pt idx="30">
                  <c:v>9.3275545823294017</c:v>
                </c:pt>
                <c:pt idx="31">
                  <c:v>9.333573745216194</c:v>
                </c:pt>
                <c:pt idx="32">
                  <c:v>8.7697549198349094</c:v>
                </c:pt>
                <c:pt idx="33">
                  <c:v>8.894412047344689</c:v>
                </c:pt>
                <c:pt idx="34">
                  <c:v>8.9531220451007787</c:v>
                </c:pt>
                <c:pt idx="35">
                  <c:v>8.9372115223705855</c:v>
                </c:pt>
                <c:pt idx="36">
                  <c:v>8.4539315381834061</c:v>
                </c:pt>
                <c:pt idx="37">
                  <c:v>8.3042229368170482</c:v>
                </c:pt>
                <c:pt idx="38">
                  <c:v>8.97943656043579</c:v>
                </c:pt>
                <c:pt idx="39">
                  <c:v>8.9440766631120141</c:v>
                </c:pt>
                <c:pt idx="40">
                  <c:v>8.464371064936369</c:v>
                </c:pt>
                <c:pt idx="41">
                  <c:v>8.2844071163791302</c:v>
                </c:pt>
                <c:pt idx="42">
                  <c:v>8.5979045474634379</c:v>
                </c:pt>
                <c:pt idx="43">
                  <c:v>9.6515873702511232</c:v>
                </c:pt>
                <c:pt idx="44">
                  <c:v>9.2604528974431481</c:v>
                </c:pt>
                <c:pt idx="45">
                  <c:v>8.2824267054126075</c:v>
                </c:pt>
                <c:pt idx="46">
                  <c:v>9.8514113399434855</c:v>
                </c:pt>
                <c:pt idx="47">
                  <c:v>8.4635390581580427</c:v>
                </c:pt>
                <c:pt idx="48">
                  <c:v>8.1619341521072375</c:v>
                </c:pt>
                <c:pt idx="49">
                  <c:v>8.1820278313955601</c:v>
                </c:pt>
                <c:pt idx="50">
                  <c:v>8.1885334829355543</c:v>
                </c:pt>
                <c:pt idx="51">
                  <c:v>7.9836223320811506</c:v>
                </c:pt>
                <c:pt idx="52">
                  <c:v>8.1767835430364304</c:v>
                </c:pt>
                <c:pt idx="53">
                  <c:v>8.5051887668662793</c:v>
                </c:pt>
                <c:pt idx="54">
                  <c:v>9.2851770960615312</c:v>
                </c:pt>
                <c:pt idx="55">
                  <c:v>9.2621725955869234</c:v>
                </c:pt>
                <c:pt idx="56">
                  <c:v>8.0907443773198349</c:v>
                </c:pt>
                <c:pt idx="57">
                  <c:v>8.1578127089764507</c:v>
                </c:pt>
                <c:pt idx="58">
                  <c:v>8.0529794862681658</c:v>
                </c:pt>
                <c:pt idx="59">
                  <c:v>8.0375061260280543</c:v>
                </c:pt>
                <c:pt idx="60">
                  <c:v>8.0699038478368088</c:v>
                </c:pt>
                <c:pt idx="61">
                  <c:v>8.2750233069272312</c:v>
                </c:pt>
                <c:pt idx="62">
                  <c:v>8.8492394288129521</c:v>
                </c:pt>
                <c:pt idx="63">
                  <c:v>9.631963028966144</c:v>
                </c:pt>
                <c:pt idx="64">
                  <c:v>9.5487738884934643</c:v>
                </c:pt>
                <c:pt idx="65">
                  <c:v>8.3613311397900389</c:v>
                </c:pt>
                <c:pt idx="66">
                  <c:v>8.3031557095819171</c:v>
                </c:pt>
                <c:pt idx="67">
                  <c:v>8.0583060186190192</c:v>
                </c:pt>
                <c:pt idx="68">
                  <c:v>8.5917016517198643</c:v>
                </c:pt>
                <c:pt idx="69">
                  <c:v>8.3493869763553459</c:v>
                </c:pt>
                <c:pt idx="70">
                  <c:v>8.344585631302083</c:v>
                </c:pt>
                <c:pt idx="71">
                  <c:v>9.2421754366621229</c:v>
                </c:pt>
                <c:pt idx="72">
                  <c:v>9.54814293500894</c:v>
                </c:pt>
                <c:pt idx="73">
                  <c:v>9.3899361136902257</c:v>
                </c:pt>
                <c:pt idx="74">
                  <c:v>8.3697218467218466</c:v>
                </c:pt>
                <c:pt idx="75">
                  <c:v>8.2567117883806453</c:v>
                </c:pt>
                <c:pt idx="76">
                  <c:v>8.305107964860543</c:v>
                </c:pt>
                <c:pt idx="77">
                  <c:v>8.6869814778230179</c:v>
                </c:pt>
                <c:pt idx="78">
                  <c:v>8.8869001402790353</c:v>
                </c:pt>
                <c:pt idx="79">
                  <c:v>8.7731865047800017</c:v>
                </c:pt>
                <c:pt idx="80">
                  <c:v>8.3455161083704308</c:v>
                </c:pt>
                <c:pt idx="81">
                  <c:v>8.1124786792632921</c:v>
                </c:pt>
                <c:pt idx="82">
                  <c:v>8.1810090193448257</c:v>
                </c:pt>
                <c:pt idx="83">
                  <c:v>8.3024486241105109</c:v>
                </c:pt>
                <c:pt idx="84">
                  <c:v>8.2892067437883998</c:v>
                </c:pt>
                <c:pt idx="85">
                  <c:v>8.3298493560260187</c:v>
                </c:pt>
                <c:pt idx="86">
                  <c:v>8.0912565035747708</c:v>
                </c:pt>
                <c:pt idx="87">
                  <c:v>8.3025242585957475</c:v>
                </c:pt>
                <c:pt idx="88">
                  <c:v>9.1009096679417336</c:v>
                </c:pt>
                <c:pt idx="89">
                  <c:v>9.3072524788109909</c:v>
                </c:pt>
                <c:pt idx="90">
                  <c:v>9.3313883670845446</c:v>
                </c:pt>
                <c:pt idx="91">
                  <c:v>8.1058437404256178</c:v>
                </c:pt>
                <c:pt idx="92">
                  <c:v>8.2524194545126797</c:v>
                </c:pt>
                <c:pt idx="93">
                  <c:v>8.3122969014054462</c:v>
                </c:pt>
                <c:pt idx="94">
                  <c:v>8.2837382925503498</c:v>
                </c:pt>
                <c:pt idx="95">
                  <c:v>8.1914740588024806</c:v>
                </c:pt>
                <c:pt idx="96">
                  <c:v>10.508615766214746</c:v>
                </c:pt>
                <c:pt idx="97">
                  <c:v>8.1791699804694709</c:v>
                </c:pt>
                <c:pt idx="98">
                  <c:v>7.9186161098242112</c:v>
                </c:pt>
                <c:pt idx="99">
                  <c:v>7.9295483919478089</c:v>
                </c:pt>
                <c:pt idx="100">
                  <c:v>9.1086930149291447</c:v>
                </c:pt>
                <c:pt idx="101">
                  <c:v>8.8250198666646202</c:v>
                </c:pt>
                <c:pt idx="102">
                  <c:v>8.95455353710949</c:v>
                </c:pt>
                <c:pt idx="103">
                  <c:v>8.9203823263399666</c:v>
                </c:pt>
                <c:pt idx="104">
                  <c:v>8.3736312002539321</c:v>
                </c:pt>
                <c:pt idx="105">
                  <c:v>9.0078571897215713</c:v>
                </c:pt>
                <c:pt idx="106">
                  <c:v>8.2227800954410597</c:v>
                </c:pt>
                <c:pt idx="107">
                  <c:v>8.1812399655284676</c:v>
                </c:pt>
                <c:pt idx="108">
                  <c:v>8.3597839521968851</c:v>
                </c:pt>
                <c:pt idx="109">
                  <c:v>8.329671511597633</c:v>
                </c:pt>
                <c:pt idx="110">
                  <c:v>8.2911392370342636</c:v>
                </c:pt>
                <c:pt idx="111">
                  <c:v>8.1635059019113765</c:v>
                </c:pt>
                <c:pt idx="112">
                  <c:v>9.0699993115961011</c:v>
                </c:pt>
                <c:pt idx="113">
                  <c:v>8.5500782899001191</c:v>
                </c:pt>
                <c:pt idx="114">
                  <c:v>8.9374291813068858</c:v>
                </c:pt>
                <c:pt idx="115">
                  <c:v>9.1633174438269531</c:v>
                </c:pt>
                <c:pt idx="116">
                  <c:v>9.0989717590855363</c:v>
                </c:pt>
                <c:pt idx="117">
                  <c:v>8.3374267560426496</c:v>
                </c:pt>
                <c:pt idx="118">
                  <c:v>9.0486721574133693</c:v>
                </c:pt>
                <c:pt idx="119">
                  <c:v>8.2407990430073124</c:v>
                </c:pt>
                <c:pt idx="120">
                  <c:v>9.4795064591610441</c:v>
                </c:pt>
                <c:pt idx="121">
                  <c:v>8.3737518625499003</c:v>
                </c:pt>
                <c:pt idx="122">
                  <c:v>8.2944165531314447</c:v>
                </c:pt>
                <c:pt idx="123">
                  <c:v>8.4981375667355952</c:v>
                </c:pt>
                <c:pt idx="124">
                  <c:v>8.5329562898896381</c:v>
                </c:pt>
                <c:pt idx="125">
                  <c:v>8.5300654300379488</c:v>
                </c:pt>
                <c:pt idx="126">
                  <c:v>8.2710990733102356</c:v>
                </c:pt>
                <c:pt idx="127">
                  <c:v>8.2745613755000154</c:v>
                </c:pt>
                <c:pt idx="128">
                  <c:v>8.3060718141117942</c:v>
                </c:pt>
                <c:pt idx="129">
                  <c:v>8.6823496401957954</c:v>
                </c:pt>
                <c:pt idx="130">
                  <c:v>8.7483651256454227</c:v>
                </c:pt>
                <c:pt idx="131">
                  <c:v>8.7989421471658975</c:v>
                </c:pt>
                <c:pt idx="132">
                  <c:v>8.3529186675191109</c:v>
                </c:pt>
                <c:pt idx="133">
                  <c:v>8.7447935771075844</c:v>
                </c:pt>
                <c:pt idx="134">
                  <c:v>7.8968783549516886</c:v>
                </c:pt>
                <c:pt idx="135">
                  <c:v>7.8967578312030504</c:v>
                </c:pt>
                <c:pt idx="136">
                  <c:v>9.1347256253848155</c:v>
                </c:pt>
                <c:pt idx="137">
                  <c:v>7.8374581443069431</c:v>
                </c:pt>
                <c:pt idx="138">
                  <c:v>8.3207204270056216</c:v>
                </c:pt>
                <c:pt idx="139">
                  <c:v>8.1109184101069864</c:v>
                </c:pt>
                <c:pt idx="140">
                  <c:v>8.555608975881805</c:v>
                </c:pt>
                <c:pt idx="141">
                  <c:v>8.7212987349358855</c:v>
                </c:pt>
                <c:pt idx="142">
                  <c:v>8.6897190838394991</c:v>
                </c:pt>
                <c:pt idx="143">
                  <c:v>8.3326077563463432</c:v>
                </c:pt>
                <c:pt idx="144">
                  <c:v>8.0052843541339893</c:v>
                </c:pt>
                <c:pt idx="145">
                  <c:v>8.27199400525401</c:v>
                </c:pt>
                <c:pt idx="146">
                  <c:v>8.9362196588059124</c:v>
                </c:pt>
                <c:pt idx="147">
                  <c:v>9.2335346432306604</c:v>
                </c:pt>
                <c:pt idx="148">
                  <c:v>9.2537053572359866</c:v>
                </c:pt>
                <c:pt idx="149">
                  <c:v>8.1989175118548427</c:v>
                </c:pt>
                <c:pt idx="150">
                  <c:v>8.3909335050161626</c:v>
                </c:pt>
                <c:pt idx="151">
                  <c:v>7.8046859899844385</c:v>
                </c:pt>
                <c:pt idx="152">
                  <c:v>8.1522664634580586</c:v>
                </c:pt>
                <c:pt idx="153">
                  <c:v>7.9495684982775394</c:v>
                </c:pt>
                <c:pt idx="154">
                  <c:v>7.8858119445174113</c:v>
                </c:pt>
                <c:pt idx="155">
                  <c:v>7.909880264897291</c:v>
                </c:pt>
              </c:numCache>
            </c:numRef>
          </c:xVal>
          <c:yVal>
            <c:numRef>
              <c:f>'Regr-SalesDiG'!$G$115:$G$270</c:f>
              <c:numCache>
                <c:formatCode>0.000</c:formatCode>
                <c:ptCount val="156"/>
                <c:pt idx="0">
                  <c:v>-0.17832459251369651</c:v>
                </c:pt>
                <c:pt idx="1">
                  <c:v>-0.89860413366276937</c:v>
                </c:pt>
                <c:pt idx="2">
                  <c:v>-0.1066569589103936</c:v>
                </c:pt>
                <c:pt idx="3">
                  <c:v>-0.61814748182127488</c:v>
                </c:pt>
                <c:pt idx="4">
                  <c:v>-0.34543869351134016</c:v>
                </c:pt>
                <c:pt idx="5">
                  <c:v>-0.82629731950342267</c:v>
                </c:pt>
                <c:pt idx="6">
                  <c:v>0.25915857087543087</c:v>
                </c:pt>
                <c:pt idx="7">
                  <c:v>2.2705020512686551</c:v>
                </c:pt>
                <c:pt idx="8">
                  <c:v>1.4055883128046101</c:v>
                </c:pt>
                <c:pt idx="9">
                  <c:v>-0.47198205595504983</c:v>
                </c:pt>
                <c:pt idx="10">
                  <c:v>-0.79288119317376449</c:v>
                </c:pt>
                <c:pt idx="11">
                  <c:v>-1.0619958989854199</c:v>
                </c:pt>
                <c:pt idx="12">
                  <c:v>-0.89776502711741946</c:v>
                </c:pt>
                <c:pt idx="13">
                  <c:v>-1.2026777261753652</c:v>
                </c:pt>
                <c:pt idx="14">
                  <c:v>-1.2036607238923112</c:v>
                </c:pt>
                <c:pt idx="15">
                  <c:v>0.95945399250113372</c:v>
                </c:pt>
                <c:pt idx="16">
                  <c:v>-1.4730969557039724</c:v>
                </c:pt>
                <c:pt idx="17">
                  <c:v>-1.1292853661092472</c:v>
                </c:pt>
                <c:pt idx="18">
                  <c:v>-0.67740169050967391</c:v>
                </c:pt>
                <c:pt idx="19">
                  <c:v>1.5018236056015692</c:v>
                </c:pt>
                <c:pt idx="20">
                  <c:v>0.94367098119596704</c:v>
                </c:pt>
                <c:pt idx="21">
                  <c:v>-2.0042502862469052</c:v>
                </c:pt>
                <c:pt idx="22">
                  <c:v>-1.0730074294868988</c:v>
                </c:pt>
                <c:pt idx="23">
                  <c:v>-1.1097848581623606</c:v>
                </c:pt>
                <c:pt idx="24">
                  <c:v>-0.91083837333717965</c:v>
                </c:pt>
                <c:pt idx="25">
                  <c:v>-0.49227930247005763</c:v>
                </c:pt>
                <c:pt idx="26">
                  <c:v>-1.1664377809442583</c:v>
                </c:pt>
                <c:pt idx="27">
                  <c:v>-0.97669011728982402</c:v>
                </c:pt>
                <c:pt idx="28">
                  <c:v>-1.0714503700988423</c:v>
                </c:pt>
                <c:pt idx="29">
                  <c:v>-0.22799786101266301</c:v>
                </c:pt>
                <c:pt idx="30">
                  <c:v>0.91518776136300795</c:v>
                </c:pt>
                <c:pt idx="31">
                  <c:v>0.1266142804485374</c:v>
                </c:pt>
                <c:pt idx="32">
                  <c:v>-0.75755153666024644</c:v>
                </c:pt>
                <c:pt idx="33">
                  <c:v>-1.4076906309700048</c:v>
                </c:pt>
                <c:pt idx="34">
                  <c:v>-1.453543708208483</c:v>
                </c:pt>
                <c:pt idx="35">
                  <c:v>-1.460234781734516</c:v>
                </c:pt>
                <c:pt idx="36">
                  <c:v>-0.23680233797185127</c:v>
                </c:pt>
                <c:pt idx="37">
                  <c:v>0.26606550761797654</c:v>
                </c:pt>
                <c:pt idx="38">
                  <c:v>-1.1344191042874283</c:v>
                </c:pt>
                <c:pt idx="39">
                  <c:v>-1.0688550877447276</c:v>
                </c:pt>
                <c:pt idx="40">
                  <c:v>-0.5088840070893188</c:v>
                </c:pt>
                <c:pt idx="41">
                  <c:v>-0.17991877448263938</c:v>
                </c:pt>
                <c:pt idx="42">
                  <c:v>0.51051894739822068</c:v>
                </c:pt>
                <c:pt idx="43">
                  <c:v>-0.27532012941518691</c:v>
                </c:pt>
                <c:pt idx="44">
                  <c:v>0.35387359277267155</c:v>
                </c:pt>
                <c:pt idx="45">
                  <c:v>-0.45003931572450523</c:v>
                </c:pt>
                <c:pt idx="46">
                  <c:v>0.43421070207950291</c:v>
                </c:pt>
                <c:pt idx="47">
                  <c:v>-0.50197140629046522</c:v>
                </c:pt>
                <c:pt idx="48">
                  <c:v>0.48798714854205011</c:v>
                </c:pt>
                <c:pt idx="49">
                  <c:v>4.5620747276087267E-2</c:v>
                </c:pt>
                <c:pt idx="50">
                  <c:v>0.34601845489451671</c:v>
                </c:pt>
                <c:pt idx="51">
                  <c:v>0.63236003700029086</c:v>
                </c:pt>
                <c:pt idx="52">
                  <c:v>-0.10978845210366962</c:v>
                </c:pt>
                <c:pt idx="53">
                  <c:v>0.56654611174313596</c:v>
                </c:pt>
                <c:pt idx="54">
                  <c:v>1.7337933574906119</c:v>
                </c:pt>
                <c:pt idx="55">
                  <c:v>0.64826434097801855</c:v>
                </c:pt>
                <c:pt idx="56">
                  <c:v>0.67448987480174583</c:v>
                </c:pt>
                <c:pt idx="57">
                  <c:v>0.33184897281502612</c:v>
                </c:pt>
                <c:pt idx="58">
                  <c:v>1.0464176626004298</c:v>
                </c:pt>
                <c:pt idx="59">
                  <c:v>0.38524749427173177</c:v>
                </c:pt>
                <c:pt idx="60">
                  <c:v>0.83420371423389195</c:v>
                </c:pt>
                <c:pt idx="61">
                  <c:v>6.4748667304419263E-2</c:v>
                </c:pt>
                <c:pt idx="62">
                  <c:v>0.28269480774088906</c:v>
                </c:pt>
                <c:pt idx="63">
                  <c:v>-5.3825011696838843E-2</c:v>
                </c:pt>
                <c:pt idx="64">
                  <c:v>-0.8885594554135815</c:v>
                </c:pt>
                <c:pt idx="65">
                  <c:v>-1.0941145721128784</c:v>
                </c:pt>
                <c:pt idx="66">
                  <c:v>-0.71772362092229547</c:v>
                </c:pt>
                <c:pt idx="67">
                  <c:v>-0.36684912736513997</c:v>
                </c:pt>
                <c:pt idx="68">
                  <c:v>-1.0293268489994485</c:v>
                </c:pt>
                <c:pt idx="69">
                  <c:v>2.0052688431089547</c:v>
                </c:pt>
                <c:pt idx="70">
                  <c:v>-0.75140199039015165</c:v>
                </c:pt>
                <c:pt idx="71">
                  <c:v>-0.29091464017165236</c:v>
                </c:pt>
                <c:pt idx="72">
                  <c:v>0.17651060489146467</c:v>
                </c:pt>
                <c:pt idx="73">
                  <c:v>0.39656564982130338</c:v>
                </c:pt>
                <c:pt idx="74">
                  <c:v>-1.179324898078419</c:v>
                </c:pt>
                <c:pt idx="75">
                  <c:v>-0.8984942058130102</c:v>
                </c:pt>
                <c:pt idx="76">
                  <c:v>-1.1616419736373296</c:v>
                </c:pt>
                <c:pt idx="77">
                  <c:v>0.78849666633213189</c:v>
                </c:pt>
                <c:pt idx="78">
                  <c:v>1.7973145135854791</c:v>
                </c:pt>
                <c:pt idx="79">
                  <c:v>1.7982922174837679</c:v>
                </c:pt>
                <c:pt idx="80">
                  <c:v>-0.87964538894866895</c:v>
                </c:pt>
                <c:pt idx="81">
                  <c:v>-0.57739096607863394</c:v>
                </c:pt>
                <c:pt idx="82">
                  <c:v>-0.74479638960342698</c:v>
                </c:pt>
                <c:pt idx="83">
                  <c:v>-1.1739016657944243</c:v>
                </c:pt>
                <c:pt idx="84">
                  <c:v>-0.93552634686427039</c:v>
                </c:pt>
                <c:pt idx="85">
                  <c:v>-1.244747753523894</c:v>
                </c:pt>
                <c:pt idx="86">
                  <c:v>-0.45743306757015673</c:v>
                </c:pt>
                <c:pt idx="87">
                  <c:v>-1.059218366599894</c:v>
                </c:pt>
                <c:pt idx="88">
                  <c:v>-0.63884061987331076</c:v>
                </c:pt>
                <c:pt idx="89">
                  <c:v>0.28240680799864926</c:v>
                </c:pt>
                <c:pt idx="90">
                  <c:v>-0.24815519095165631</c:v>
                </c:pt>
                <c:pt idx="91">
                  <c:v>-0.18735812171582683</c:v>
                </c:pt>
                <c:pt idx="92">
                  <c:v>-0.34051470915248067</c:v>
                </c:pt>
                <c:pt idx="93">
                  <c:v>-0.72379059160943415</c:v>
                </c:pt>
                <c:pt idx="94">
                  <c:v>-0.92944349261583137</c:v>
                </c:pt>
                <c:pt idx="95">
                  <c:v>-0.44830010035174755</c:v>
                </c:pt>
                <c:pt idx="96">
                  <c:v>-0.54172272479911576</c:v>
                </c:pt>
                <c:pt idx="97">
                  <c:v>-1.6897797368762853E-2</c:v>
                </c:pt>
                <c:pt idx="98">
                  <c:v>0.59243178718713496</c:v>
                </c:pt>
                <c:pt idx="99">
                  <c:v>0.44423783538291306</c:v>
                </c:pt>
                <c:pt idx="100">
                  <c:v>-0.46612372566627347</c:v>
                </c:pt>
                <c:pt idx="101">
                  <c:v>0.11822087170637929</c:v>
                </c:pt>
                <c:pt idx="102">
                  <c:v>2.0500158482747732</c:v>
                </c:pt>
                <c:pt idx="103">
                  <c:v>1.4176175048310418</c:v>
                </c:pt>
                <c:pt idx="104">
                  <c:v>-2.7515280591084958E-2</c:v>
                </c:pt>
                <c:pt idx="105">
                  <c:v>0.35780767425621524</c:v>
                </c:pt>
                <c:pt idx="106">
                  <c:v>-1.2506932854951025E-2</c:v>
                </c:pt>
                <c:pt idx="107">
                  <c:v>0.2356762840645458</c:v>
                </c:pt>
                <c:pt idx="108">
                  <c:v>5.678903323748782E-3</c:v>
                </c:pt>
                <c:pt idx="109">
                  <c:v>0.48855961532572101</c:v>
                </c:pt>
                <c:pt idx="110">
                  <c:v>0.15762771306535464</c:v>
                </c:pt>
                <c:pt idx="111">
                  <c:v>0.33098338579246633</c:v>
                </c:pt>
                <c:pt idx="112">
                  <c:v>0.58792958381685079</c:v>
                </c:pt>
                <c:pt idx="113">
                  <c:v>-0.99274385499523066</c:v>
                </c:pt>
                <c:pt idx="114">
                  <c:v>-8.4278812217621374E-2</c:v>
                </c:pt>
                <c:pt idx="115">
                  <c:v>1.4732204927100663</c:v>
                </c:pt>
                <c:pt idx="116">
                  <c:v>0.42409519786929295</c:v>
                </c:pt>
                <c:pt idx="117">
                  <c:v>-0.46064514181809613</c:v>
                </c:pt>
                <c:pt idx="118">
                  <c:v>0.61777921703604821</c:v>
                </c:pt>
                <c:pt idx="119">
                  <c:v>-0.15735473217333329</c:v>
                </c:pt>
                <c:pt idx="120">
                  <c:v>-0.28136792268481831</c:v>
                </c:pt>
                <c:pt idx="121">
                  <c:v>-0.29131350819187446</c:v>
                </c:pt>
                <c:pt idx="122">
                  <c:v>-5.9680392525525421E-2</c:v>
                </c:pt>
                <c:pt idx="123">
                  <c:v>2.0891155305353024</c:v>
                </c:pt>
                <c:pt idx="124">
                  <c:v>4.4906937054687814</c:v>
                </c:pt>
                <c:pt idx="125">
                  <c:v>3.6002998520998717</c:v>
                </c:pt>
                <c:pt idx="126">
                  <c:v>-0.75640928833711529</c:v>
                </c:pt>
                <c:pt idx="127">
                  <c:v>-0.80592065761154075</c:v>
                </c:pt>
                <c:pt idx="128">
                  <c:v>-1.0201627189325946</c:v>
                </c:pt>
                <c:pt idx="129">
                  <c:v>0.26445386763329143</c:v>
                </c:pt>
                <c:pt idx="130">
                  <c:v>1.6510518820139448</c:v>
                </c:pt>
                <c:pt idx="131">
                  <c:v>0.88579583382388694</c:v>
                </c:pt>
                <c:pt idx="132">
                  <c:v>-0.84900585411626861</c:v>
                </c:pt>
                <c:pt idx="133">
                  <c:v>0.64767475865690383</c:v>
                </c:pt>
                <c:pt idx="134">
                  <c:v>0.92847208856603713</c:v>
                </c:pt>
                <c:pt idx="135">
                  <c:v>0.45984604415296204</c:v>
                </c:pt>
                <c:pt idx="136">
                  <c:v>-0.52252584257866153</c:v>
                </c:pt>
                <c:pt idx="137">
                  <c:v>0.8300177225870029</c:v>
                </c:pt>
                <c:pt idx="138">
                  <c:v>-0.65629499063783314</c:v>
                </c:pt>
                <c:pt idx="139">
                  <c:v>-0.31886976034840264</c:v>
                </c:pt>
                <c:pt idx="140">
                  <c:v>0.34450618217766998</c:v>
                </c:pt>
                <c:pt idx="141">
                  <c:v>1.302928803953779</c:v>
                </c:pt>
                <c:pt idx="142">
                  <c:v>0.98111786763124587</c:v>
                </c:pt>
                <c:pt idx="143">
                  <c:v>-0.45369380767920126</c:v>
                </c:pt>
                <c:pt idx="144">
                  <c:v>0.36525888467731527</c:v>
                </c:pt>
                <c:pt idx="145">
                  <c:v>-0.27981923254651281</c:v>
                </c:pt>
                <c:pt idx="146">
                  <c:v>0.52857595297156068</c:v>
                </c:pt>
                <c:pt idx="147">
                  <c:v>1.1188102654856684</c:v>
                </c:pt>
                <c:pt idx="148">
                  <c:v>0.71383909568756665</c:v>
                </c:pt>
                <c:pt idx="149">
                  <c:v>-0.19880187179573805</c:v>
                </c:pt>
                <c:pt idx="150">
                  <c:v>-0.48537132566973323</c:v>
                </c:pt>
                <c:pt idx="151">
                  <c:v>1.2219975028287799</c:v>
                </c:pt>
                <c:pt idx="152">
                  <c:v>-2.4510615648352961E-2</c:v>
                </c:pt>
                <c:pt idx="153">
                  <c:v>0.55441735932811287</c:v>
                </c:pt>
                <c:pt idx="154">
                  <c:v>0.96753843033973419</c:v>
                </c:pt>
                <c:pt idx="155">
                  <c:v>0.72668883081543312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56-5442-B92D-0AAF9E7B28CD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8.9194220004136202</c:v>
              </c:pt>
            </c:numLit>
          </c:xVal>
          <c:yVal>
            <c:numLit>
              <c:formatCode>General</c:formatCode>
              <c:ptCount val="1"/>
              <c:pt idx="0">
                <c:v>-0.89860413366276937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256-5442-B92D-0AAF9E7B2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932127"/>
        <c:axId val="1824933775"/>
      </c:scatterChart>
      <c:valAx>
        <c:axId val="1824932127"/>
        <c:scaling>
          <c:orientation val="minMax"/>
          <c:max val="11"/>
          <c:min val="7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Pred(Ln(UVolDiG))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24933775"/>
        <c:crosses val="autoZero"/>
        <c:crossBetween val="midCat"/>
      </c:valAx>
      <c:valAx>
        <c:axId val="1824933775"/>
        <c:scaling>
          <c:orientation val="minMax"/>
          <c:max val="5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249321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Pred(Ln(UVolDiG)) - Ln(UVolDiG)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'Regr-SalesDiG'!$E$115:$E$270</c:f>
              <c:numCache>
                <c:formatCode>0.000</c:formatCode>
                <c:ptCount val="156"/>
                <c:pt idx="0">
                  <c:v>8.9615130883498058</c:v>
                </c:pt>
                <c:pt idx="1">
                  <c:v>8.9194220004136202</c:v>
                </c:pt>
                <c:pt idx="2">
                  <c:v>8.7451704573902163</c:v>
                </c:pt>
                <c:pt idx="3">
                  <c:v>8.8776927940034192</c:v>
                </c:pt>
                <c:pt idx="4">
                  <c:v>8.9567915279148043</c:v>
                </c:pt>
                <c:pt idx="5">
                  <c:v>8.9842512476207563</c:v>
                </c:pt>
                <c:pt idx="6">
                  <c:v>9.1276711884658059</c:v>
                </c:pt>
                <c:pt idx="7">
                  <c:v>9.3522738032970398</c:v>
                </c:pt>
                <c:pt idx="8">
                  <c:v>9.3629757268695037</c:v>
                </c:pt>
                <c:pt idx="9">
                  <c:v>8.9557351602154931</c:v>
                </c:pt>
                <c:pt idx="10">
                  <c:v>9.4060874436174355</c:v>
                </c:pt>
                <c:pt idx="11">
                  <c:v>8.927578275162471</c:v>
                </c:pt>
                <c:pt idx="12">
                  <c:v>8.8693589544782814</c:v>
                </c:pt>
                <c:pt idx="13">
                  <c:v>8.9486782530295805</c:v>
                </c:pt>
                <c:pt idx="14">
                  <c:v>8.9552695508640383</c:v>
                </c:pt>
                <c:pt idx="15">
                  <c:v>9.2578827892586162</c:v>
                </c:pt>
                <c:pt idx="16">
                  <c:v>8.9434733134492568</c:v>
                </c:pt>
                <c:pt idx="17">
                  <c:v>8.9821372783238385</c:v>
                </c:pt>
                <c:pt idx="18">
                  <c:v>9.1252602057205792</c:v>
                </c:pt>
                <c:pt idx="19">
                  <c:v>9.3800389659948156</c:v>
                </c:pt>
                <c:pt idx="20">
                  <c:v>9.3779888837168706</c:v>
                </c:pt>
                <c:pt idx="21">
                  <c:v>8.9438009766362949</c:v>
                </c:pt>
                <c:pt idx="22">
                  <c:v>8.8503434856753884</c:v>
                </c:pt>
                <c:pt idx="23">
                  <c:v>8.7364317840181229</c:v>
                </c:pt>
                <c:pt idx="24">
                  <c:v>8.7527313709121515</c:v>
                </c:pt>
                <c:pt idx="25">
                  <c:v>9.394385106475589</c:v>
                </c:pt>
                <c:pt idx="26">
                  <c:v>8.9942523917247783</c:v>
                </c:pt>
                <c:pt idx="27">
                  <c:v>8.9317725327548469</c:v>
                </c:pt>
                <c:pt idx="28">
                  <c:v>8.9419747059277235</c:v>
                </c:pt>
                <c:pt idx="29">
                  <c:v>9.1533343491787669</c:v>
                </c:pt>
                <c:pt idx="30">
                  <c:v>9.3275545823294017</c:v>
                </c:pt>
                <c:pt idx="31">
                  <c:v>9.333573745216194</c:v>
                </c:pt>
                <c:pt idx="32">
                  <c:v>8.7697549198349094</c:v>
                </c:pt>
                <c:pt idx="33">
                  <c:v>8.894412047344689</c:v>
                </c:pt>
                <c:pt idx="34">
                  <c:v>8.9531220451007787</c:v>
                </c:pt>
                <c:pt idx="35">
                  <c:v>8.9372115223705855</c:v>
                </c:pt>
                <c:pt idx="36">
                  <c:v>8.4539315381834061</c:v>
                </c:pt>
                <c:pt idx="37">
                  <c:v>8.3042229368170482</c:v>
                </c:pt>
                <c:pt idx="38">
                  <c:v>8.97943656043579</c:v>
                </c:pt>
                <c:pt idx="39">
                  <c:v>8.9440766631120141</c:v>
                </c:pt>
                <c:pt idx="40">
                  <c:v>8.464371064936369</c:v>
                </c:pt>
                <c:pt idx="41">
                  <c:v>8.2844071163791302</c:v>
                </c:pt>
                <c:pt idx="42">
                  <c:v>8.5979045474634379</c:v>
                </c:pt>
                <c:pt idx="43">
                  <c:v>9.6515873702511232</c:v>
                </c:pt>
                <c:pt idx="44">
                  <c:v>9.2604528974431481</c:v>
                </c:pt>
                <c:pt idx="45">
                  <c:v>8.2824267054126075</c:v>
                </c:pt>
                <c:pt idx="46">
                  <c:v>9.8514113399434855</c:v>
                </c:pt>
                <c:pt idx="47">
                  <c:v>8.4635390581580427</c:v>
                </c:pt>
                <c:pt idx="48">
                  <c:v>8.1619341521072375</c:v>
                </c:pt>
                <c:pt idx="49">
                  <c:v>8.1820278313955601</c:v>
                </c:pt>
                <c:pt idx="50">
                  <c:v>8.1885334829355543</c:v>
                </c:pt>
                <c:pt idx="51">
                  <c:v>7.9836223320811506</c:v>
                </c:pt>
                <c:pt idx="52">
                  <c:v>8.1767835430364304</c:v>
                </c:pt>
                <c:pt idx="53">
                  <c:v>8.5051887668662793</c:v>
                </c:pt>
                <c:pt idx="54">
                  <c:v>9.2851770960615312</c:v>
                </c:pt>
                <c:pt idx="55">
                  <c:v>9.2621725955869234</c:v>
                </c:pt>
                <c:pt idx="56">
                  <c:v>8.0907443773198349</c:v>
                </c:pt>
                <c:pt idx="57">
                  <c:v>8.1578127089764507</c:v>
                </c:pt>
                <c:pt idx="58">
                  <c:v>8.0529794862681658</c:v>
                </c:pt>
                <c:pt idx="59">
                  <c:v>8.0375061260280543</c:v>
                </c:pt>
                <c:pt idx="60">
                  <c:v>8.0699038478368088</c:v>
                </c:pt>
                <c:pt idx="61">
                  <c:v>8.2750233069272312</c:v>
                </c:pt>
                <c:pt idx="62">
                  <c:v>8.8492394288129521</c:v>
                </c:pt>
                <c:pt idx="63">
                  <c:v>9.631963028966144</c:v>
                </c:pt>
                <c:pt idx="64">
                  <c:v>9.5487738884934643</c:v>
                </c:pt>
                <c:pt idx="65">
                  <c:v>8.3613311397900389</c:v>
                </c:pt>
                <c:pt idx="66">
                  <c:v>8.3031557095819171</c:v>
                </c:pt>
                <c:pt idx="67">
                  <c:v>8.0583060186190192</c:v>
                </c:pt>
                <c:pt idx="68">
                  <c:v>8.5917016517198643</c:v>
                </c:pt>
                <c:pt idx="69">
                  <c:v>8.3493869763553459</c:v>
                </c:pt>
                <c:pt idx="70">
                  <c:v>8.344585631302083</c:v>
                </c:pt>
                <c:pt idx="71">
                  <c:v>9.2421754366621229</c:v>
                </c:pt>
                <c:pt idx="72">
                  <c:v>9.54814293500894</c:v>
                </c:pt>
                <c:pt idx="73">
                  <c:v>9.3899361136902257</c:v>
                </c:pt>
                <c:pt idx="74">
                  <c:v>8.3697218467218466</c:v>
                </c:pt>
                <c:pt idx="75">
                  <c:v>8.2567117883806453</c:v>
                </c:pt>
                <c:pt idx="76">
                  <c:v>8.305107964860543</c:v>
                </c:pt>
                <c:pt idx="77">
                  <c:v>8.6869814778230179</c:v>
                </c:pt>
                <c:pt idx="78">
                  <c:v>8.8869001402790353</c:v>
                </c:pt>
                <c:pt idx="79">
                  <c:v>8.7731865047800017</c:v>
                </c:pt>
                <c:pt idx="80">
                  <c:v>8.3455161083704308</c:v>
                </c:pt>
                <c:pt idx="81">
                  <c:v>8.1124786792632921</c:v>
                </c:pt>
                <c:pt idx="82">
                  <c:v>8.1810090193448257</c:v>
                </c:pt>
                <c:pt idx="83">
                  <c:v>8.3024486241105109</c:v>
                </c:pt>
                <c:pt idx="84">
                  <c:v>8.2892067437883998</c:v>
                </c:pt>
                <c:pt idx="85">
                  <c:v>8.3298493560260187</c:v>
                </c:pt>
                <c:pt idx="86">
                  <c:v>8.0912565035747708</c:v>
                </c:pt>
                <c:pt idx="87">
                  <c:v>8.3025242585957475</c:v>
                </c:pt>
                <c:pt idx="88">
                  <c:v>9.1009096679417336</c:v>
                </c:pt>
                <c:pt idx="89">
                  <c:v>9.3072524788109909</c:v>
                </c:pt>
                <c:pt idx="90">
                  <c:v>9.3313883670845446</c:v>
                </c:pt>
                <c:pt idx="91">
                  <c:v>8.1058437404256178</c:v>
                </c:pt>
                <c:pt idx="92">
                  <c:v>8.2524194545126797</c:v>
                </c:pt>
                <c:pt idx="93">
                  <c:v>8.3122969014054462</c:v>
                </c:pt>
                <c:pt idx="94">
                  <c:v>8.2837382925503498</c:v>
                </c:pt>
                <c:pt idx="95">
                  <c:v>8.1914740588024806</c:v>
                </c:pt>
                <c:pt idx="96">
                  <c:v>10.508615766214746</c:v>
                </c:pt>
                <c:pt idx="97">
                  <c:v>8.1791699804694709</c:v>
                </c:pt>
                <c:pt idx="98">
                  <c:v>7.9186161098242112</c:v>
                </c:pt>
                <c:pt idx="99">
                  <c:v>7.9295483919478089</c:v>
                </c:pt>
                <c:pt idx="100">
                  <c:v>9.1086930149291447</c:v>
                </c:pt>
                <c:pt idx="101">
                  <c:v>8.8250198666646202</c:v>
                </c:pt>
                <c:pt idx="102">
                  <c:v>8.95455353710949</c:v>
                </c:pt>
                <c:pt idx="103">
                  <c:v>8.9203823263399666</c:v>
                </c:pt>
                <c:pt idx="104">
                  <c:v>8.3736312002539321</c:v>
                </c:pt>
                <c:pt idx="105">
                  <c:v>9.0078571897215713</c:v>
                </c:pt>
                <c:pt idx="106">
                  <c:v>8.2227800954410597</c:v>
                </c:pt>
                <c:pt idx="107">
                  <c:v>8.1812399655284676</c:v>
                </c:pt>
                <c:pt idx="108">
                  <c:v>8.3597839521968851</c:v>
                </c:pt>
                <c:pt idx="109">
                  <c:v>8.329671511597633</c:v>
                </c:pt>
                <c:pt idx="110">
                  <c:v>8.2911392370342636</c:v>
                </c:pt>
                <c:pt idx="111">
                  <c:v>8.1635059019113765</c:v>
                </c:pt>
                <c:pt idx="112">
                  <c:v>9.0699993115961011</c:v>
                </c:pt>
                <c:pt idx="113">
                  <c:v>8.5500782899001191</c:v>
                </c:pt>
                <c:pt idx="114">
                  <c:v>8.9374291813068858</c:v>
                </c:pt>
                <c:pt idx="115">
                  <c:v>9.1633174438269531</c:v>
                </c:pt>
                <c:pt idx="116">
                  <c:v>9.0989717590855363</c:v>
                </c:pt>
                <c:pt idx="117">
                  <c:v>8.3374267560426496</c:v>
                </c:pt>
                <c:pt idx="118">
                  <c:v>9.0486721574133693</c:v>
                </c:pt>
                <c:pt idx="119">
                  <c:v>8.2407990430073124</c:v>
                </c:pt>
                <c:pt idx="120">
                  <c:v>9.4795064591610441</c:v>
                </c:pt>
                <c:pt idx="121">
                  <c:v>8.3737518625499003</c:v>
                </c:pt>
                <c:pt idx="122">
                  <c:v>8.2944165531314447</c:v>
                </c:pt>
                <c:pt idx="123">
                  <c:v>8.4981375667355952</c:v>
                </c:pt>
                <c:pt idx="124">
                  <c:v>8.5329562898896381</c:v>
                </c:pt>
                <c:pt idx="125">
                  <c:v>8.5300654300379488</c:v>
                </c:pt>
                <c:pt idx="126">
                  <c:v>8.2710990733102356</c:v>
                </c:pt>
                <c:pt idx="127">
                  <c:v>8.2745613755000154</c:v>
                </c:pt>
                <c:pt idx="128">
                  <c:v>8.3060718141117942</c:v>
                </c:pt>
                <c:pt idx="129">
                  <c:v>8.6823496401957954</c:v>
                </c:pt>
                <c:pt idx="130">
                  <c:v>8.7483651256454227</c:v>
                </c:pt>
                <c:pt idx="131">
                  <c:v>8.7989421471658975</c:v>
                </c:pt>
                <c:pt idx="132">
                  <c:v>8.3529186675191109</c:v>
                </c:pt>
                <c:pt idx="133">
                  <c:v>8.7447935771075844</c:v>
                </c:pt>
                <c:pt idx="134">
                  <c:v>7.8968783549516886</c:v>
                </c:pt>
                <c:pt idx="135">
                  <c:v>7.8967578312030504</c:v>
                </c:pt>
                <c:pt idx="136">
                  <c:v>9.1347256253848155</c:v>
                </c:pt>
                <c:pt idx="137">
                  <c:v>7.8374581443069431</c:v>
                </c:pt>
                <c:pt idx="138">
                  <c:v>8.3207204270056216</c:v>
                </c:pt>
                <c:pt idx="139">
                  <c:v>8.1109184101069864</c:v>
                </c:pt>
                <c:pt idx="140">
                  <c:v>8.555608975881805</c:v>
                </c:pt>
                <c:pt idx="141">
                  <c:v>8.7212987349358855</c:v>
                </c:pt>
                <c:pt idx="142">
                  <c:v>8.6897190838394991</c:v>
                </c:pt>
                <c:pt idx="143">
                  <c:v>8.3326077563463432</c:v>
                </c:pt>
                <c:pt idx="144">
                  <c:v>8.0052843541339893</c:v>
                </c:pt>
                <c:pt idx="145">
                  <c:v>8.27199400525401</c:v>
                </c:pt>
                <c:pt idx="146">
                  <c:v>8.9362196588059124</c:v>
                </c:pt>
                <c:pt idx="147">
                  <c:v>9.2335346432306604</c:v>
                </c:pt>
                <c:pt idx="148">
                  <c:v>9.2537053572359866</c:v>
                </c:pt>
                <c:pt idx="149">
                  <c:v>8.1989175118548427</c:v>
                </c:pt>
                <c:pt idx="150">
                  <c:v>8.3909335050161626</c:v>
                </c:pt>
                <c:pt idx="151">
                  <c:v>7.8046859899844385</c:v>
                </c:pt>
                <c:pt idx="152">
                  <c:v>8.1522664634580586</c:v>
                </c:pt>
                <c:pt idx="153">
                  <c:v>7.9495684982775394</c:v>
                </c:pt>
                <c:pt idx="154">
                  <c:v>7.8858119445174113</c:v>
                </c:pt>
                <c:pt idx="155">
                  <c:v>7.909880264897291</c:v>
                </c:pt>
              </c:numCache>
            </c:numRef>
          </c:xVal>
          <c:yVal>
            <c:numRef>
              <c:f>'Regr-SalesDiG'!$D$115:$D$270</c:f>
              <c:numCache>
                <c:formatCode>0.000</c:formatCode>
                <c:ptCount val="156"/>
                <c:pt idx="0">
                  <c:v>8.908424139496578</c:v>
                </c:pt>
                <c:pt idx="1">
                  <c:v>8.6518988942685287</c:v>
                </c:pt>
                <c:pt idx="2">
                  <c:v>8.7134176533791834</c:v>
                </c:pt>
                <c:pt idx="3">
                  <c:v>8.6936643345320164</c:v>
                </c:pt>
                <c:pt idx="4">
                  <c:v>8.8539511015146104</c:v>
                </c:pt>
                <c:pt idx="5">
                  <c:v>8.7382545765261224</c:v>
                </c:pt>
                <c:pt idx="6">
                  <c:v>9.204825191288073</c:v>
                </c:pt>
                <c:pt idx="7">
                  <c:v>10.028224133937455</c:v>
                </c:pt>
                <c:pt idx="8">
                  <c:v>9.7814329065288224</c:v>
                </c:pt>
                <c:pt idx="9">
                  <c:v>8.8152215559221627</c:v>
                </c:pt>
                <c:pt idx="10">
                  <c:v>9.1700390752026575</c:v>
                </c:pt>
                <c:pt idx="11">
                  <c:v>8.6114118666552191</c:v>
                </c:pt>
                <c:pt idx="12">
                  <c:v>8.6020856584342003</c:v>
                </c:pt>
                <c:pt idx="13">
                  <c:v>8.5906295094894194</c:v>
                </c:pt>
                <c:pt idx="14">
                  <c:v>8.596928159435091</c:v>
                </c:pt>
                <c:pt idx="15">
                  <c:v>9.5435214844991823</c:v>
                </c:pt>
                <c:pt idx="16">
                  <c:v>8.5049181605406243</c:v>
                </c:pt>
                <c:pt idx="17">
                  <c:v>8.6459381473067989</c:v>
                </c:pt>
                <c:pt idx="18">
                  <c:v>8.9235911975730016</c:v>
                </c:pt>
                <c:pt idx="19">
                  <c:v>9.8271463192794055</c:v>
                </c:pt>
                <c:pt idx="20">
                  <c:v>9.6589288244664342</c:v>
                </c:pt>
                <c:pt idx="21">
                  <c:v>8.3471163610387205</c:v>
                </c:pt>
                <c:pt idx="22">
                  <c:v>8.5308988384723499</c:v>
                </c:pt>
                <c:pt idx="23">
                  <c:v>8.4060381420500754</c:v>
                </c:pt>
                <c:pt idx="24">
                  <c:v>8.4815660137730866</c:v>
                </c:pt>
                <c:pt idx="25">
                  <c:v>9.2478288163871749</c:v>
                </c:pt>
                <c:pt idx="26">
                  <c:v>8.6469926289510823</c:v>
                </c:pt>
                <c:pt idx="27">
                  <c:v>8.6410024771425231</c:v>
                </c:pt>
                <c:pt idx="28">
                  <c:v>8.6229936103024496</c:v>
                </c:pt>
                <c:pt idx="29">
                  <c:v>9.0854571898294925</c:v>
                </c:pt>
                <c:pt idx="30">
                  <c:v>9.6000147941780227</c:v>
                </c:pt>
                <c:pt idx="31">
                  <c:v>9.3712680360824656</c:v>
                </c:pt>
                <c:pt idx="32">
                  <c:v>8.5442245304672682</c:v>
                </c:pt>
                <c:pt idx="33">
                  <c:v>8.475328987317539</c:v>
                </c:pt>
                <c:pt idx="34">
                  <c:v>8.5203880823127562</c:v>
                </c:pt>
                <c:pt idx="35">
                  <c:v>8.5024855625439635</c:v>
                </c:pt>
                <c:pt idx="36">
                  <c:v>8.3834332012367128</c:v>
                </c:pt>
                <c:pt idx="37">
                  <c:v>8.3834332012367128</c:v>
                </c:pt>
                <c:pt idx="38">
                  <c:v>8.6417090661138047</c:v>
                </c:pt>
                <c:pt idx="39">
                  <c:v>8.6258682080418936</c:v>
                </c:pt>
                <c:pt idx="40">
                  <c:v>8.3128713943426149</c:v>
                </c:pt>
                <c:pt idx="41">
                  <c:v>8.2308435641982349</c:v>
                </c:pt>
                <c:pt idx="42">
                  <c:v>8.7498909555352586</c:v>
                </c:pt>
                <c:pt idx="43">
                  <c:v>9.5696219157798659</c:v>
                </c:pt>
                <c:pt idx="44">
                  <c:v>9.3658044746002549</c:v>
                </c:pt>
                <c:pt idx="45">
                  <c:v>8.1484456662432354</c:v>
                </c:pt>
                <c:pt idx="46">
                  <c:v>9.9806800483660343</c:v>
                </c:pt>
                <c:pt idx="47">
                  <c:v>8.3140973354058065</c:v>
                </c:pt>
                <c:pt idx="48">
                  <c:v>8.3072126266283082</c:v>
                </c:pt>
                <c:pt idx="49">
                  <c:v>8.1956095672887752</c:v>
                </c:pt>
                <c:pt idx="50">
                  <c:v>8.2915465098839096</c:v>
                </c:pt>
                <c:pt idx="51">
                  <c:v>8.1718820061278201</c:v>
                </c:pt>
                <c:pt idx="52">
                  <c:v>8.1440984633385245</c:v>
                </c:pt>
                <c:pt idx="53">
                  <c:v>8.6738550014296152</c:v>
                </c:pt>
                <c:pt idx="54">
                  <c:v>9.8013440788674249</c:v>
                </c:pt>
                <c:pt idx="55">
                  <c:v>9.4551671341215346</c:v>
                </c:pt>
                <c:pt idx="56">
                  <c:v>8.2915465098839096</c:v>
                </c:pt>
                <c:pt idx="57">
                  <c:v>8.2566073446261576</c:v>
                </c:pt>
                <c:pt idx="58">
                  <c:v>8.3645081037505893</c:v>
                </c:pt>
                <c:pt idx="59">
                  <c:v>8.1521980158617868</c:v>
                </c:pt>
                <c:pt idx="60">
                  <c:v>8.3182543287988455</c:v>
                </c:pt>
                <c:pt idx="61">
                  <c:v>8.2942996088572354</c:v>
                </c:pt>
                <c:pt idx="62">
                  <c:v>8.9334003960563031</c:v>
                </c:pt>
                <c:pt idx="63">
                  <c:v>9.6159388045295824</c:v>
                </c:pt>
                <c:pt idx="64">
                  <c:v>9.2842411798157176</c:v>
                </c:pt>
                <c:pt idx="65">
                  <c:v>8.035602692918582</c:v>
                </c:pt>
                <c:pt idx="66">
                  <c:v>8.0894824743607536</c:v>
                </c:pt>
                <c:pt idx="67">
                  <c:v>7.9490914998305167</c:v>
                </c:pt>
                <c:pt idx="68">
                  <c:v>8.2852611340689482</c:v>
                </c:pt>
                <c:pt idx="69">
                  <c:v>8.9463748261417173</c:v>
                </c:pt>
                <c:pt idx="70">
                  <c:v>8.1208860210928382</c:v>
                </c:pt>
                <c:pt idx="71">
                  <c:v>9.1555673461288904</c:v>
                </c:pt>
                <c:pt idx="72">
                  <c:v>9.6006918422742995</c:v>
                </c:pt>
                <c:pt idx="73">
                  <c:v>9.5079975274500423</c:v>
                </c:pt>
                <c:pt idx="74">
                  <c:v>8.0186254650457496</c:v>
                </c:pt>
                <c:pt idx="75">
                  <c:v>7.9892214088152764</c:v>
                </c:pt>
                <c:pt idx="76">
                  <c:v>7.959275960116396</c:v>
                </c:pt>
                <c:pt idx="77">
                  <c:v>8.92172453036431</c:v>
                </c:pt>
                <c:pt idx="78">
                  <c:v>9.4219779831041901</c:v>
                </c:pt>
                <c:pt idx="79">
                  <c:v>9.3085554194731372</c:v>
                </c:pt>
                <c:pt idx="80">
                  <c:v>8.0836372031415475</c:v>
                </c:pt>
                <c:pt idx="81">
                  <c:v>7.9405838271042439</c:v>
                </c:pt>
                <c:pt idx="82">
                  <c:v>7.959275960116396</c:v>
                </c:pt>
                <c:pt idx="83">
                  <c:v>7.9529667909231314</c:v>
                </c:pt>
                <c:pt idx="84">
                  <c:v>8.0106915391303009</c:v>
                </c:pt>
                <c:pt idx="85">
                  <c:v>7.959275960116396</c:v>
                </c:pt>
                <c:pt idx="86">
                  <c:v>7.9550742732626958</c:v>
                </c:pt>
                <c:pt idx="87">
                  <c:v>7.9871847482334726</c:v>
                </c:pt>
                <c:pt idx="88">
                  <c:v>8.910720661951359</c:v>
                </c:pt>
                <c:pt idx="89">
                  <c:v>9.3913277057569999</c:v>
                </c:pt>
                <c:pt idx="90">
                  <c:v>9.2575101764525733</c:v>
                </c:pt>
                <c:pt idx="91">
                  <c:v>8.0500654229159654</c:v>
                </c:pt>
                <c:pt idx="92">
                  <c:v>8.1510449456850242</c:v>
                </c:pt>
                <c:pt idx="93">
                  <c:v>8.0968174705723186</c:v>
                </c:pt>
                <c:pt idx="94">
                  <c:v>8.007034012193408</c:v>
                </c:pt>
                <c:pt idx="95">
                  <c:v>8.0580108008020854</c:v>
                </c:pt>
                <c:pt idx="96">
                  <c:v>10.347339693048996</c:v>
                </c:pt>
                <c:pt idx="97">
                  <c:v>8.17413934342947</c:v>
                </c:pt>
                <c:pt idx="98">
                  <c:v>8.0949887593037744</c:v>
                </c:pt>
                <c:pt idx="99">
                  <c:v>8.0618022745383477</c:v>
                </c:pt>
                <c:pt idx="100">
                  <c:v>8.9699234919915156</c:v>
                </c:pt>
                <c:pt idx="101">
                  <c:v>8.8602153589011827</c:v>
                </c:pt>
                <c:pt idx="102">
                  <c:v>9.5648630013467724</c:v>
                </c:pt>
                <c:pt idx="103">
                  <c:v>9.3424207123333911</c:v>
                </c:pt>
                <c:pt idx="104">
                  <c:v>8.3654396361887002</c:v>
                </c:pt>
                <c:pt idx="105">
                  <c:v>9.1143799808302717</c:v>
                </c:pt>
                <c:pt idx="106">
                  <c:v>8.2190566610605984</c:v>
                </c:pt>
                <c:pt idx="107">
                  <c:v>8.2514030653805559</c:v>
                </c:pt>
                <c:pt idx="108">
                  <c:v>8.3614746164168174</c:v>
                </c:pt>
                <c:pt idx="109">
                  <c:v>8.4751204149943291</c:v>
                </c:pt>
                <c:pt idx="110">
                  <c:v>8.3380665255188013</c:v>
                </c:pt>
                <c:pt idx="111">
                  <c:v>8.2620428439669418</c:v>
                </c:pt>
                <c:pt idx="112">
                  <c:v>9.2450316117661124</c:v>
                </c:pt>
                <c:pt idx="113">
                  <c:v>8.2545288819397449</c:v>
                </c:pt>
                <c:pt idx="114">
                  <c:v>8.9123385671175477</c:v>
                </c:pt>
                <c:pt idx="115">
                  <c:v>9.6019093748922355</c:v>
                </c:pt>
                <c:pt idx="116">
                  <c:v>9.2252289844699327</c:v>
                </c:pt>
                <c:pt idx="117">
                  <c:v>8.2002882602875538</c:v>
                </c:pt>
                <c:pt idx="118">
                  <c:v>9.2325909809110023</c:v>
                </c:pt>
                <c:pt idx="119">
                  <c:v>8.1939530235637417</c:v>
                </c:pt>
                <c:pt idx="120">
                  <c:v>9.3957405183797356</c:v>
                </c:pt>
                <c:pt idx="121">
                  <c:v>8.2870250251650628</c:v>
                </c:pt>
                <c:pt idx="122">
                  <c:v>8.2766491254218604</c:v>
                </c:pt>
                <c:pt idx="123">
                  <c:v>9.1200873829986211</c:v>
                </c:pt>
                <c:pt idx="124">
                  <c:v>9.8698790613622993</c:v>
                </c:pt>
                <c:pt idx="125">
                  <c:v>9.6019093748922355</c:v>
                </c:pt>
                <c:pt idx="126">
                  <c:v>8.0459087422707789</c:v>
                </c:pt>
                <c:pt idx="127">
                  <c:v>8.034631032923107</c:v>
                </c:pt>
                <c:pt idx="128">
                  <c:v>8.0023595462527073</c:v>
                </c:pt>
                <c:pt idx="129">
                  <c:v>8.7610801038683466</c:v>
                </c:pt>
                <c:pt idx="130">
                  <c:v>9.2398991742177277</c:v>
                </c:pt>
                <c:pt idx="131">
                  <c:v>9.062652099076578</c:v>
                </c:pt>
                <c:pt idx="132">
                  <c:v>8.1001614469366068</c:v>
                </c:pt>
                <c:pt idx="133">
                  <c:v>8.9376125913062126</c:v>
                </c:pt>
                <c:pt idx="134">
                  <c:v>8.173293438966228</c:v>
                </c:pt>
                <c:pt idx="135">
                  <c:v>8.0336584278861505</c:v>
                </c:pt>
                <c:pt idx="136">
                  <c:v>8.9791646489647086</c:v>
                </c:pt>
                <c:pt idx="137">
                  <c:v>8.0845624152353039</c:v>
                </c:pt>
                <c:pt idx="138">
                  <c:v>8.1253350867142906</c:v>
                </c:pt>
                <c:pt idx="139">
                  <c:v>8.0159878110272373</c:v>
                </c:pt>
                <c:pt idx="140">
                  <c:v>8.6581717846758099</c:v>
                </c:pt>
                <c:pt idx="141">
                  <c:v>9.1091931899712257</c:v>
                </c:pt>
                <c:pt idx="142">
                  <c:v>8.9818073233775344</c:v>
                </c:pt>
                <c:pt idx="143">
                  <c:v>8.1975387397211836</c:v>
                </c:pt>
                <c:pt idx="144">
                  <c:v>8.1140254423567573</c:v>
                </c:pt>
                <c:pt idx="145">
                  <c:v>8.1886891244442008</c:v>
                </c:pt>
                <c:pt idx="146">
                  <c:v>9.0935818113659863</c:v>
                </c:pt>
                <c:pt idx="147">
                  <c:v>9.5666152358935754</c:v>
                </c:pt>
                <c:pt idx="148">
                  <c:v>9.4662221318781654</c:v>
                </c:pt>
                <c:pt idx="149">
                  <c:v>8.1397322797176699</c:v>
                </c:pt>
                <c:pt idx="150">
                  <c:v>8.2464337861603649</c:v>
                </c:pt>
                <c:pt idx="151">
                  <c:v>8.1684864171266813</c:v>
                </c:pt>
                <c:pt idx="152">
                  <c:v>8.144969417087875</c:v>
                </c:pt>
                <c:pt idx="153">
                  <c:v>8.1146238864200981</c:v>
                </c:pt>
                <c:pt idx="154">
                  <c:v>8.1738574547736214</c:v>
                </c:pt>
                <c:pt idx="155">
                  <c:v>8.1262225294585253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88-334D-8646-4B38085B9FE4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8.9194220004136202</c:v>
              </c:pt>
            </c:numLit>
          </c:xVal>
          <c:yVal>
            <c:numLit>
              <c:formatCode>General</c:formatCode>
              <c:ptCount val="1"/>
              <c:pt idx="0">
                <c:v>8.6518988942685287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C88-334D-8646-4B38085B9FE4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XLSTAT_20211101_191526_1_HID!xdata1</c:f>
              <c:numCache>
                <c:formatCode>General</c:formatCode>
                <c:ptCount val="70"/>
                <c:pt idx="0">
                  <c:v>7.6965287989352298</c:v>
                </c:pt>
                <c:pt idx="1">
                  <c:v>7.7677434383630919</c:v>
                </c:pt>
                <c:pt idx="2">
                  <c:v>7.838958077790954</c:v>
                </c:pt>
                <c:pt idx="3">
                  <c:v>7.9101727172188152</c:v>
                </c:pt>
                <c:pt idx="4">
                  <c:v>7.9813873566466773</c:v>
                </c:pt>
                <c:pt idx="5">
                  <c:v>8.0526019960745394</c:v>
                </c:pt>
                <c:pt idx="6">
                  <c:v>8.1238166355024006</c:v>
                </c:pt>
                <c:pt idx="7">
                  <c:v>8.1950312749302636</c:v>
                </c:pt>
                <c:pt idx="8">
                  <c:v>8.2662459143581248</c:v>
                </c:pt>
                <c:pt idx="9">
                  <c:v>8.3374605537859861</c:v>
                </c:pt>
                <c:pt idx="10">
                  <c:v>8.408675193213849</c:v>
                </c:pt>
                <c:pt idx="11">
                  <c:v>8.4798898326417103</c:v>
                </c:pt>
                <c:pt idx="12">
                  <c:v>8.5511044720695732</c:v>
                </c:pt>
                <c:pt idx="13">
                  <c:v>8.6223191114974345</c:v>
                </c:pt>
                <c:pt idx="14">
                  <c:v>8.6935337509252957</c:v>
                </c:pt>
                <c:pt idx="15">
                  <c:v>8.7647483903531587</c:v>
                </c:pt>
                <c:pt idx="16">
                  <c:v>8.8359630297810199</c:v>
                </c:pt>
                <c:pt idx="17">
                  <c:v>8.9071776692088811</c:v>
                </c:pt>
                <c:pt idx="18">
                  <c:v>8.9783923086367441</c:v>
                </c:pt>
                <c:pt idx="19">
                  <c:v>9.0496069480646053</c:v>
                </c:pt>
                <c:pt idx="20">
                  <c:v>9.1208215874924683</c:v>
                </c:pt>
                <c:pt idx="21">
                  <c:v>9.1920362269203295</c:v>
                </c:pt>
                <c:pt idx="22">
                  <c:v>9.2632508663481907</c:v>
                </c:pt>
                <c:pt idx="23">
                  <c:v>9.3344655057760537</c:v>
                </c:pt>
                <c:pt idx="24">
                  <c:v>9.4056801452039149</c:v>
                </c:pt>
                <c:pt idx="25">
                  <c:v>9.4768947846317779</c:v>
                </c:pt>
                <c:pt idx="26">
                  <c:v>9.5481094240596391</c:v>
                </c:pt>
                <c:pt idx="27">
                  <c:v>9.6193240634875004</c:v>
                </c:pt>
                <c:pt idx="28">
                  <c:v>9.6905387029153633</c:v>
                </c:pt>
                <c:pt idx="29">
                  <c:v>9.7617533423432246</c:v>
                </c:pt>
                <c:pt idx="30">
                  <c:v>9.8329679817710876</c:v>
                </c:pt>
                <c:pt idx="31">
                  <c:v>9.9041826211989488</c:v>
                </c:pt>
                <c:pt idx="32">
                  <c:v>9.97539726062681</c:v>
                </c:pt>
                <c:pt idx="33">
                  <c:v>10.046611900054673</c:v>
                </c:pt>
                <c:pt idx="34">
                  <c:v>10.117826539482534</c:v>
                </c:pt>
                <c:pt idx="35">
                  <c:v>10.189041178910397</c:v>
                </c:pt>
                <c:pt idx="36">
                  <c:v>10.260255818338258</c:v>
                </c:pt>
                <c:pt idx="37">
                  <c:v>10.33147045776612</c:v>
                </c:pt>
                <c:pt idx="38">
                  <c:v>10.402685097193981</c:v>
                </c:pt>
                <c:pt idx="39">
                  <c:v>10.473899736621844</c:v>
                </c:pt>
                <c:pt idx="40">
                  <c:v>10.545114376049705</c:v>
                </c:pt>
                <c:pt idx="41">
                  <c:v>10.616329015477568</c:v>
                </c:pt>
                <c:pt idx="42">
                  <c:v>10.687543654905429</c:v>
                </c:pt>
                <c:pt idx="43">
                  <c:v>10.75875829433329</c:v>
                </c:pt>
                <c:pt idx="44">
                  <c:v>10.829972933761153</c:v>
                </c:pt>
                <c:pt idx="45">
                  <c:v>10.901187573189015</c:v>
                </c:pt>
                <c:pt idx="46">
                  <c:v>10.972402212616878</c:v>
                </c:pt>
                <c:pt idx="47">
                  <c:v>11.043616852044739</c:v>
                </c:pt>
                <c:pt idx="48">
                  <c:v>11.1148314914726</c:v>
                </c:pt>
                <c:pt idx="49">
                  <c:v>11.186046130900463</c:v>
                </c:pt>
                <c:pt idx="50">
                  <c:v>11.257260770328324</c:v>
                </c:pt>
                <c:pt idx="51">
                  <c:v>11.328475409756187</c:v>
                </c:pt>
                <c:pt idx="52">
                  <c:v>11.399690049184048</c:v>
                </c:pt>
                <c:pt idx="53">
                  <c:v>11.47090468861191</c:v>
                </c:pt>
                <c:pt idx="54">
                  <c:v>11.542119328039773</c:v>
                </c:pt>
                <c:pt idx="55">
                  <c:v>11.613333967467634</c:v>
                </c:pt>
                <c:pt idx="56">
                  <c:v>11.684548606895497</c:v>
                </c:pt>
                <c:pt idx="57">
                  <c:v>11.755763246323358</c:v>
                </c:pt>
                <c:pt idx="58">
                  <c:v>11.826977885751219</c:v>
                </c:pt>
                <c:pt idx="59">
                  <c:v>11.898192525179081</c:v>
                </c:pt>
                <c:pt idx="60">
                  <c:v>11.969407164606944</c:v>
                </c:pt>
                <c:pt idx="61">
                  <c:v>12.040621804034807</c:v>
                </c:pt>
                <c:pt idx="62">
                  <c:v>12.111836443462668</c:v>
                </c:pt>
                <c:pt idx="63">
                  <c:v>12.183051082890529</c:v>
                </c:pt>
                <c:pt idx="64">
                  <c:v>12.25426572231839</c:v>
                </c:pt>
                <c:pt idx="65">
                  <c:v>12.325480361746253</c:v>
                </c:pt>
                <c:pt idx="66">
                  <c:v>12.396695001174116</c:v>
                </c:pt>
                <c:pt idx="67">
                  <c:v>12.467909640601977</c:v>
                </c:pt>
                <c:pt idx="68">
                  <c:v>12.539124280029839</c:v>
                </c:pt>
                <c:pt idx="69">
                  <c:v>12.6103389194577</c:v>
                </c:pt>
              </c:numCache>
            </c:numRef>
          </c:xVal>
          <c:yVal>
            <c:numRef>
              <c:f>XLSTAT_20211101_191526_1_HID!ydata1</c:f>
              <c:numCache>
                <c:formatCode>General</c:formatCode>
                <c:ptCount val="70"/>
                <c:pt idx="0">
                  <c:v>7.0992816440784976</c:v>
                </c:pt>
                <c:pt idx="1">
                  <c:v>7.1715014708052909</c:v>
                </c:pt>
                <c:pt idx="2">
                  <c:v>7.2436455343343651</c:v>
                </c:pt>
                <c:pt idx="3">
                  <c:v>7.3157134793032732</c:v>
                </c:pt>
                <c:pt idx="4">
                  <c:v>7.3877049774940557</c:v>
                </c:pt>
                <c:pt idx="5">
                  <c:v>7.4596197284506864</c:v>
                </c:pt>
                <c:pt idx="6">
                  <c:v>7.5314574600495732</c:v>
                </c:pt>
                <c:pt idx="7">
                  <c:v>7.6032179290205946</c:v>
                </c:pt>
                <c:pt idx="8">
                  <c:v>7.6749009214163895</c:v>
                </c:pt>
                <c:pt idx="9">
                  <c:v>7.7465062530278459</c:v>
                </c:pt>
                <c:pt idx="10">
                  <c:v>7.818033769743872</c:v>
                </c:pt>
                <c:pt idx="11">
                  <c:v>7.8894833478538509</c:v>
                </c:pt>
                <c:pt idx="12">
                  <c:v>7.9608548942914172</c:v>
                </c:pt>
                <c:pt idx="13">
                  <c:v>8.0321483468183938</c:v>
                </c:pt>
                <c:pt idx="14">
                  <c:v>8.1033636741480883</c:v>
                </c:pt>
                <c:pt idx="15">
                  <c:v>8.1745008760073521</c:v>
                </c:pt>
                <c:pt idx="16">
                  <c:v>8.2455599831371114</c:v>
                </c:pt>
                <c:pt idx="17">
                  <c:v>8.3165410572314027</c:v>
                </c:pt>
                <c:pt idx="18">
                  <c:v>8.3874441908151578</c:v>
                </c:pt>
                <c:pt idx="19">
                  <c:v>8.458269507061301</c:v>
                </c:pt>
                <c:pt idx="20">
                  <c:v>8.5290171595480544</c:v>
                </c:pt>
                <c:pt idx="21">
                  <c:v>8.5996873319574778</c:v>
                </c:pt>
                <c:pt idx="22">
                  <c:v>8.6702802377166996</c:v>
                </c:pt>
                <c:pt idx="23">
                  <c:v>8.7407961195834041</c:v>
                </c:pt>
                <c:pt idx="24">
                  <c:v>8.8112352491774573</c:v>
                </c:pt>
                <c:pt idx="25">
                  <c:v>8.8815979264607687</c:v>
                </c:pt>
                <c:pt idx="26">
                  <c:v>8.9518844791676457</c:v>
                </c:pt>
                <c:pt idx="27">
                  <c:v>9.0220952621881452</c:v>
                </c:pt>
                <c:pt idx="28">
                  <c:v>9.0922306569070503</c:v>
                </c:pt>
                <c:pt idx="29">
                  <c:v>9.1622910705012632</c:v>
                </c:pt>
                <c:pt idx="30">
                  <c:v>9.2322769351985734</c:v>
                </c:pt>
                <c:pt idx="31">
                  <c:v>9.302188707500763</c:v>
                </c:pt>
                <c:pt idx="32">
                  <c:v>9.3720268673742471</c:v>
                </c:pt>
                <c:pt idx="33">
                  <c:v>9.4417919174113543</c:v>
                </c:pt>
                <c:pt idx="34">
                  <c:v>9.5114843819655146</c:v>
                </c:pt>
                <c:pt idx="35">
                  <c:v>9.5811048062636033</c:v>
                </c:pt>
                <c:pt idx="36">
                  <c:v>9.6506537554986487</c:v>
                </c:pt>
                <c:pt idx="37">
                  <c:v>9.7201318139061961</c:v>
                </c:pt>
                <c:pt idx="38">
                  <c:v>9.7895395838274624</c:v>
                </c:pt>
                <c:pt idx="39">
                  <c:v>9.8588776847624739</c:v>
                </c:pt>
                <c:pt idx="40">
                  <c:v>9.9281467524162217</c:v>
                </c:pt>
                <c:pt idx="41">
                  <c:v>9.9973474377408778</c:v>
                </c:pt>
                <c:pt idx="42">
                  <c:v>10.066480405976888</c:v>
                </c:pt>
                <c:pt idx="43">
                  <c:v>10.135546335695809</c:v>
                </c:pt>
                <c:pt idx="44">
                  <c:v>10.204545917847486</c:v>
                </c:pt>
                <c:pt idx="45">
                  <c:v>10.273479854814131</c:v>
                </c:pt>
                <c:pt idx="46">
                  <c:v>10.342348859473711</c:v>
                </c:pt>
                <c:pt idx="47">
                  <c:v>10.411153654274854</c:v>
                </c:pt>
                <c:pt idx="48">
                  <c:v>10.479894970325415</c:v>
                </c:pt>
                <c:pt idx="49">
                  <c:v>10.548573546496641</c:v>
                </c:pt>
                <c:pt idx="50">
                  <c:v>10.617190128544696</c:v>
                </c:pt>
                <c:pt idx="51">
                  <c:v>10.68574546825125</c:v>
                </c:pt>
                <c:pt idx="52">
                  <c:v>10.754240322584531</c:v>
                </c:pt>
                <c:pt idx="53">
                  <c:v>10.822675452882248</c:v>
                </c:pt>
                <c:pt idx="54">
                  <c:v>10.891051624057498</c:v>
                </c:pt>
                <c:pt idx="55">
                  <c:v>10.959369603828714</c:v>
                </c:pt>
                <c:pt idx="56">
                  <c:v>11.02763016197453</c:v>
                </c:pt>
                <c:pt idx="57">
                  <c:v>11.095834069614277</c:v>
                </c:pt>
                <c:pt idx="58">
                  <c:v>11.163982098514765</c:v>
                </c:pt>
                <c:pt idx="59">
                  <c:v>11.232075020423753</c:v>
                </c:pt>
                <c:pt idx="60">
                  <c:v>11.30011360643052</c:v>
                </c:pt>
                <c:pt idx="61">
                  <c:v>11.368098626353715</c:v>
                </c:pt>
                <c:pt idx="62">
                  <c:v>11.436030848156662</c:v>
                </c:pt>
                <c:pt idx="63">
                  <c:v>11.503911037390077</c:v>
                </c:pt>
                <c:pt idx="64">
                  <c:v>11.57173995666216</c:v>
                </c:pt>
                <c:pt idx="65">
                  <c:v>11.639518365135865</c:v>
                </c:pt>
                <c:pt idx="66">
                  <c:v>11.707247018053117</c:v>
                </c:pt>
                <c:pt idx="67">
                  <c:v>11.774926666285628</c:v>
                </c:pt>
                <c:pt idx="68">
                  <c:v>11.842558055911935</c:v>
                </c:pt>
                <c:pt idx="69">
                  <c:v>11.910141927820181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88-334D-8646-4B38085B9FE4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XLSTAT_20211101_191526_1_HID!xdata2</c:f>
              <c:numCache>
                <c:formatCode>General</c:formatCode>
                <c:ptCount val="70"/>
                <c:pt idx="0">
                  <c:v>6.2437487919875503</c:v>
                </c:pt>
                <c:pt idx="1">
                  <c:v>6.3360182141247989</c:v>
                </c:pt>
                <c:pt idx="2">
                  <c:v>6.4282876362620476</c:v>
                </c:pt>
                <c:pt idx="3">
                  <c:v>6.5205570583992962</c:v>
                </c:pt>
                <c:pt idx="4">
                  <c:v>6.612826480536544</c:v>
                </c:pt>
                <c:pt idx="5">
                  <c:v>6.7050959026737926</c:v>
                </c:pt>
                <c:pt idx="6">
                  <c:v>6.7973653248110413</c:v>
                </c:pt>
                <c:pt idx="7">
                  <c:v>6.8896347469482899</c:v>
                </c:pt>
                <c:pt idx="8">
                  <c:v>6.9819041690855386</c:v>
                </c:pt>
                <c:pt idx="9">
                  <c:v>7.0741735912227863</c:v>
                </c:pt>
                <c:pt idx="10">
                  <c:v>7.166443013360035</c:v>
                </c:pt>
                <c:pt idx="11">
                  <c:v>7.2587124354972836</c:v>
                </c:pt>
                <c:pt idx="12">
                  <c:v>7.3509818576345323</c:v>
                </c:pt>
                <c:pt idx="13">
                  <c:v>7.4432512797717809</c:v>
                </c:pt>
                <c:pt idx="14">
                  <c:v>7.5355207019090287</c:v>
                </c:pt>
                <c:pt idx="15">
                  <c:v>7.6277901240462782</c:v>
                </c:pt>
                <c:pt idx="16">
                  <c:v>7.720059546183526</c:v>
                </c:pt>
                <c:pt idx="17">
                  <c:v>7.8123289683207746</c:v>
                </c:pt>
                <c:pt idx="18">
                  <c:v>7.9045983904580233</c:v>
                </c:pt>
                <c:pt idx="19">
                  <c:v>7.9968678125952719</c:v>
                </c:pt>
                <c:pt idx="20">
                  <c:v>8.0891372347325206</c:v>
                </c:pt>
                <c:pt idx="21">
                  <c:v>8.1814066568697683</c:v>
                </c:pt>
                <c:pt idx="22">
                  <c:v>8.2736760790070178</c:v>
                </c:pt>
                <c:pt idx="23">
                  <c:v>8.3659455011442656</c:v>
                </c:pt>
                <c:pt idx="24">
                  <c:v>8.4582149232815134</c:v>
                </c:pt>
                <c:pt idx="25">
                  <c:v>8.5504843454187629</c:v>
                </c:pt>
                <c:pt idx="26">
                  <c:v>8.6427537675560107</c:v>
                </c:pt>
                <c:pt idx="27">
                  <c:v>8.7350231896932602</c:v>
                </c:pt>
                <c:pt idx="28">
                  <c:v>8.827292611830508</c:v>
                </c:pt>
                <c:pt idx="29">
                  <c:v>8.9195620339677575</c:v>
                </c:pt>
                <c:pt idx="30">
                  <c:v>9.0118314561050052</c:v>
                </c:pt>
                <c:pt idx="31">
                  <c:v>9.104100878242253</c:v>
                </c:pt>
                <c:pt idx="32">
                  <c:v>9.1963703003795025</c:v>
                </c:pt>
                <c:pt idx="33">
                  <c:v>9.2886397225167503</c:v>
                </c:pt>
                <c:pt idx="34">
                  <c:v>9.3809091446539981</c:v>
                </c:pt>
                <c:pt idx="35">
                  <c:v>9.4731785667912476</c:v>
                </c:pt>
                <c:pt idx="36">
                  <c:v>9.5654479889284971</c:v>
                </c:pt>
                <c:pt idx="37">
                  <c:v>9.6577174110657449</c:v>
                </c:pt>
                <c:pt idx="38">
                  <c:v>9.7499868332029926</c:v>
                </c:pt>
                <c:pt idx="39">
                  <c:v>9.8422562553402422</c:v>
                </c:pt>
                <c:pt idx="40">
                  <c:v>9.9345256774774899</c:v>
                </c:pt>
                <c:pt idx="41">
                  <c:v>10.026795099614738</c:v>
                </c:pt>
                <c:pt idx="42">
                  <c:v>10.119064521751987</c:v>
                </c:pt>
                <c:pt idx="43">
                  <c:v>10.211333943889235</c:v>
                </c:pt>
                <c:pt idx="44">
                  <c:v>10.303603366026483</c:v>
                </c:pt>
                <c:pt idx="45">
                  <c:v>10.395872788163732</c:v>
                </c:pt>
                <c:pt idx="46">
                  <c:v>10.488142210300982</c:v>
                </c:pt>
                <c:pt idx="47">
                  <c:v>10.58041163243823</c:v>
                </c:pt>
                <c:pt idx="48">
                  <c:v>10.672681054575477</c:v>
                </c:pt>
                <c:pt idx="49">
                  <c:v>10.764950476712727</c:v>
                </c:pt>
                <c:pt idx="50">
                  <c:v>10.857219898849975</c:v>
                </c:pt>
                <c:pt idx="51">
                  <c:v>10.949489320987222</c:v>
                </c:pt>
                <c:pt idx="52">
                  <c:v>11.041758743124472</c:v>
                </c:pt>
                <c:pt idx="53">
                  <c:v>11.134028165261721</c:v>
                </c:pt>
                <c:pt idx="54">
                  <c:v>11.226297587398969</c:v>
                </c:pt>
                <c:pt idx="55">
                  <c:v>11.318567009536217</c:v>
                </c:pt>
                <c:pt idx="56">
                  <c:v>11.410836431673467</c:v>
                </c:pt>
                <c:pt idx="57">
                  <c:v>11.503105853810714</c:v>
                </c:pt>
                <c:pt idx="58">
                  <c:v>11.595375275947962</c:v>
                </c:pt>
                <c:pt idx="59">
                  <c:v>11.687644698085212</c:v>
                </c:pt>
                <c:pt idx="60">
                  <c:v>11.779914120222461</c:v>
                </c:pt>
                <c:pt idx="61">
                  <c:v>11.872183542359709</c:v>
                </c:pt>
                <c:pt idx="62">
                  <c:v>11.964452964496957</c:v>
                </c:pt>
                <c:pt idx="63">
                  <c:v>12.056722386634206</c:v>
                </c:pt>
                <c:pt idx="64">
                  <c:v>12.148991808771454</c:v>
                </c:pt>
                <c:pt idx="65">
                  <c:v>12.241261230908702</c:v>
                </c:pt>
                <c:pt idx="66">
                  <c:v>12.333530653045951</c:v>
                </c:pt>
                <c:pt idx="67">
                  <c:v>12.425800075183199</c:v>
                </c:pt>
                <c:pt idx="68">
                  <c:v>12.518069497320447</c:v>
                </c:pt>
                <c:pt idx="69">
                  <c:v>12.610338919457696</c:v>
                </c:pt>
              </c:numCache>
            </c:numRef>
          </c:xVal>
          <c:yVal>
            <c:numRef>
              <c:f>XLSTAT_20211101_191526_1_HID!ydata2</c:f>
              <c:numCache>
                <c:formatCode>General</c:formatCode>
                <c:ptCount val="70"/>
                <c:pt idx="0">
                  <c:v>6.8772372421018</c:v>
                </c:pt>
                <c:pt idx="1">
                  <c:v>6.9663620860239615</c:v>
                </c:pt>
                <c:pt idx="2">
                  <c:v>7.0555945702491902</c:v>
                </c:pt>
                <c:pt idx="3">
                  <c:v>7.144936265444759</c:v>
                </c:pt>
                <c:pt idx="4">
                  <c:v>7.2343887148525789</c:v>
                </c:pt>
                <c:pt idx="5">
                  <c:v>7.3239534308981895</c:v>
                </c:pt>
                <c:pt idx="6">
                  <c:v>7.4136318917501605</c:v>
                </c:pt>
                <c:pt idx="7">
                  <c:v>7.5034255378442563</c:v>
                </c:pt>
                <c:pt idx="8">
                  <c:v>7.5933357683877922</c:v>
                </c:pt>
                <c:pt idx="9">
                  <c:v>7.6833639378606629</c:v>
                </c:pt>
                <c:pt idx="10">
                  <c:v>7.7735113525304209</c:v>
                </c:pt>
                <c:pt idx="11">
                  <c:v>7.8637792669996003</c:v>
                </c:pt>
                <c:pt idx="12">
                  <c:v>7.9541688808041826</c:v>
                </c:pt>
                <c:pt idx="13">
                  <c:v>8.0446813350825597</c:v>
                </c:pt>
                <c:pt idx="14">
                  <c:v>8.1353177093347373</c:v>
                </c:pt>
                <c:pt idx="15">
                  <c:v>8.2260790182916868</c:v>
                </c:pt>
                <c:pt idx="16">
                  <c:v>8.3169662089146446</c:v>
                </c:pt>
                <c:pt idx="17">
                  <c:v>8.4079801575440118</c:v>
                </c:pt>
                <c:pt idx="18">
                  <c:v>8.4991216672169436</c:v>
                </c:pt>
                <c:pt idx="19">
                  <c:v>8.5903914651720825</c:v>
                </c:pt>
                <c:pt idx="20">
                  <c:v>8.6817902005589982</c:v>
                </c:pt>
                <c:pt idx="21">
                  <c:v>8.7733184423687334</c:v>
                </c:pt>
                <c:pt idx="22">
                  <c:v>8.8649766776005539</c:v>
                </c:pt>
                <c:pt idx="23">
                  <c:v>8.9567653096784952</c:v>
                </c:pt>
                <c:pt idx="24">
                  <c:v>9.0486846571295931</c:v>
                </c:pt>
                <c:pt idx="25">
                  <c:v>9.1407349525338013</c:v>
                </c:pt>
                <c:pt idx="26">
                  <c:v>9.2329163417536364</c:v>
                </c:pt>
                <c:pt idx="27">
                  <c:v>9.3252288834495243</c:v>
                </c:pt>
                <c:pt idx="28">
                  <c:v>9.4176725488845285</c:v>
                </c:pt>
                <c:pt idx="29">
                  <c:v>9.510247222020034</c:v>
                </c:pt>
                <c:pt idx="30">
                  <c:v>9.6029526999016106</c:v>
                </c:pt>
                <c:pt idx="31">
                  <c:v>9.6957886933320907</c:v>
                </c:pt>
                <c:pt idx="32">
                  <c:v>9.7887548278266472</c:v>
                </c:pt>
                <c:pt idx="33">
                  <c:v>9.8818506448425421</c:v>
                </c:pt>
                <c:pt idx="34">
                  <c:v>9.9750756032742274</c:v>
                </c:pt>
                <c:pt idx="35">
                  <c:v>10.068429081202485</c:v>
                </c:pt>
                <c:pt idx="36">
                  <c:v>10.161910377884606</c:v>
                </c:pt>
                <c:pt idx="37">
                  <c:v>10.255518715971032</c:v>
                </c:pt>
                <c:pt idx="38">
                  <c:v>10.349253243932434</c:v>
                </c:pt>
                <c:pt idx="39">
                  <c:v>10.443113038680067</c:v>
                </c:pt>
                <c:pt idx="40">
                  <c:v>10.537097108361218</c:v>
                </c:pt>
                <c:pt idx="41">
                  <c:v>10.631204395310869</c:v>
                </c:pt>
                <c:pt idx="42">
                  <c:v>10.725433779140069</c:v>
                </c:pt>
                <c:pt idx="43">
                  <c:v>10.81978407994124</c:v>
                </c:pt>
                <c:pt idx="44">
                  <c:v>10.914254061590551</c:v>
                </c:pt>
                <c:pt idx="45">
                  <c:v>11.008842435127518</c:v>
                </c:pt>
                <c:pt idx="46">
                  <c:v>11.103547862192304</c:v>
                </c:pt>
                <c:pt idx="47">
                  <c:v>11.198368958501694</c:v>
                </c:pt>
                <c:pt idx="48">
                  <c:v>11.29330429734526</c:v>
                </c:pt>
                <c:pt idx="49">
                  <c:v>11.388352413084041</c:v>
                </c:pt>
                <c:pt idx="50">
                  <c:v>11.483511804634949</c:v>
                </c:pt>
                <c:pt idx="51">
                  <c:v>11.578780938925119</c:v>
                </c:pt>
                <c:pt idx="52">
                  <c:v>11.674158254301437</c:v>
                </c:pt>
                <c:pt idx="53">
                  <c:v>11.769642163881704</c:v>
                </c:pt>
                <c:pt idx="54">
                  <c:v>11.865231058835041</c:v>
                </c:pt>
                <c:pt idx="55">
                  <c:v>11.960923311580391</c:v>
                </c:pt>
                <c:pt idx="56">
                  <c:v>12.056717278893162</c:v>
                </c:pt>
                <c:pt idx="57">
                  <c:v>12.152611304911353</c:v>
                </c:pt>
                <c:pt idx="58">
                  <c:v>12.248603724033705</c:v>
                </c:pt>
                <c:pt idx="59">
                  <c:v>12.344692863703548</c:v>
                </c:pt>
                <c:pt idx="60">
                  <c:v>12.440877047073265</c:v>
                </c:pt>
                <c:pt idx="61">
                  <c:v>12.537154595545328</c:v>
                </c:pt>
                <c:pt idx="62">
                  <c:v>12.633523831186913</c:v>
                </c:pt>
                <c:pt idx="63">
                  <c:v>12.729983079016108</c:v>
                </c:pt>
                <c:pt idx="64">
                  <c:v>12.826530669158601</c:v>
                </c:pt>
                <c:pt idx="65">
                  <c:v>12.923164938874658</c:v>
                </c:pt>
                <c:pt idx="66">
                  <c:v>13.019884234456855</c:v>
                </c:pt>
                <c:pt idx="67">
                  <c:v>13.116686912999841</c:v>
                </c:pt>
                <c:pt idx="68">
                  <c:v>13.213571344043968</c:v>
                </c:pt>
                <c:pt idx="69">
                  <c:v>13.310535911095215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88-334D-8646-4B38085B9FE4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6</c:v>
              </c:pt>
              <c:pt idx="1">
                <c:v>14</c:v>
              </c:pt>
            </c:numLit>
          </c:xVal>
          <c:yVal>
            <c:numLit>
              <c:formatCode>General</c:formatCode>
              <c:ptCount val="2"/>
              <c:pt idx="0">
                <c:v>6</c:v>
              </c:pt>
              <c:pt idx="1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C88-334D-8646-4B38085B9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552991"/>
        <c:axId val="1782553391"/>
      </c:scatterChart>
      <c:valAx>
        <c:axId val="1782552991"/>
        <c:scaling>
          <c:orientation val="minMax"/>
          <c:max val="14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Pred(Ln(UVolDiG))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82553391"/>
        <c:crosses val="autoZero"/>
        <c:crossBetween val="midCat"/>
      </c:valAx>
      <c:valAx>
        <c:axId val="1782553391"/>
        <c:scaling>
          <c:orientation val="minMax"/>
          <c:max val="14"/>
          <c:min val="6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Ln(UVolDiG)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8255299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Ln(UVolDiG)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'Regr-SalesDiG'!$B$115:$B$270</c:f>
              <c:strCache>
                <c:ptCount val="156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</c:strCache>
            </c:strRef>
          </c:cat>
          <c:val>
            <c:numRef>
              <c:f>'Regr-SalesDiG'!$G$115:$G$270</c:f>
              <c:numCache>
                <c:formatCode>0.000</c:formatCode>
                <c:ptCount val="156"/>
                <c:pt idx="0">
                  <c:v>-0.17832459251369651</c:v>
                </c:pt>
                <c:pt idx="1">
                  <c:v>-0.89860413366276937</c:v>
                </c:pt>
                <c:pt idx="2">
                  <c:v>-0.1066569589103936</c:v>
                </c:pt>
                <c:pt idx="3">
                  <c:v>-0.61814748182127488</c:v>
                </c:pt>
                <c:pt idx="4">
                  <c:v>-0.34543869351134016</c:v>
                </c:pt>
                <c:pt idx="5">
                  <c:v>-0.82629731950342267</c:v>
                </c:pt>
                <c:pt idx="6">
                  <c:v>0.25915857087543087</c:v>
                </c:pt>
                <c:pt idx="7">
                  <c:v>2.2705020512686551</c:v>
                </c:pt>
                <c:pt idx="8">
                  <c:v>1.4055883128046101</c:v>
                </c:pt>
                <c:pt idx="9">
                  <c:v>-0.47198205595504983</c:v>
                </c:pt>
                <c:pt idx="10">
                  <c:v>-0.79288119317376449</c:v>
                </c:pt>
                <c:pt idx="11">
                  <c:v>-1.0619958989854199</c:v>
                </c:pt>
                <c:pt idx="12">
                  <c:v>-0.89776502711741946</c:v>
                </c:pt>
                <c:pt idx="13">
                  <c:v>-1.2026777261753652</c:v>
                </c:pt>
                <c:pt idx="14">
                  <c:v>-1.2036607238923112</c:v>
                </c:pt>
                <c:pt idx="15">
                  <c:v>0.95945399250113372</c:v>
                </c:pt>
                <c:pt idx="16">
                  <c:v>-1.4730969557039724</c:v>
                </c:pt>
                <c:pt idx="17">
                  <c:v>-1.1292853661092472</c:v>
                </c:pt>
                <c:pt idx="18">
                  <c:v>-0.67740169050967391</c:v>
                </c:pt>
                <c:pt idx="19">
                  <c:v>1.5018236056015692</c:v>
                </c:pt>
                <c:pt idx="20">
                  <c:v>0.94367098119596704</c:v>
                </c:pt>
                <c:pt idx="21">
                  <c:v>-2.0042502862469052</c:v>
                </c:pt>
                <c:pt idx="22">
                  <c:v>-1.0730074294868988</c:v>
                </c:pt>
                <c:pt idx="23">
                  <c:v>-1.1097848581623606</c:v>
                </c:pt>
                <c:pt idx="24">
                  <c:v>-0.91083837333717965</c:v>
                </c:pt>
                <c:pt idx="25">
                  <c:v>-0.49227930247005763</c:v>
                </c:pt>
                <c:pt idx="26">
                  <c:v>-1.1664377809442583</c:v>
                </c:pt>
                <c:pt idx="27">
                  <c:v>-0.97669011728982402</c:v>
                </c:pt>
                <c:pt idx="28">
                  <c:v>-1.0714503700988423</c:v>
                </c:pt>
                <c:pt idx="29">
                  <c:v>-0.22799786101266301</c:v>
                </c:pt>
                <c:pt idx="30">
                  <c:v>0.91518776136300795</c:v>
                </c:pt>
                <c:pt idx="31">
                  <c:v>0.1266142804485374</c:v>
                </c:pt>
                <c:pt idx="32">
                  <c:v>-0.75755153666024644</c:v>
                </c:pt>
                <c:pt idx="33">
                  <c:v>-1.4076906309700048</c:v>
                </c:pt>
                <c:pt idx="34">
                  <c:v>-1.453543708208483</c:v>
                </c:pt>
                <c:pt idx="35">
                  <c:v>-1.460234781734516</c:v>
                </c:pt>
                <c:pt idx="36">
                  <c:v>-0.23680233797185127</c:v>
                </c:pt>
                <c:pt idx="37">
                  <c:v>0.26606550761797654</c:v>
                </c:pt>
                <c:pt idx="38">
                  <c:v>-1.1344191042874283</c:v>
                </c:pt>
                <c:pt idx="39">
                  <c:v>-1.0688550877447276</c:v>
                </c:pt>
                <c:pt idx="40">
                  <c:v>-0.5088840070893188</c:v>
                </c:pt>
                <c:pt idx="41">
                  <c:v>-0.17991877448263938</c:v>
                </c:pt>
                <c:pt idx="42">
                  <c:v>0.51051894739822068</c:v>
                </c:pt>
                <c:pt idx="43">
                  <c:v>-0.27532012941518691</c:v>
                </c:pt>
                <c:pt idx="44">
                  <c:v>0.35387359277267155</c:v>
                </c:pt>
                <c:pt idx="45">
                  <c:v>-0.45003931572450523</c:v>
                </c:pt>
                <c:pt idx="46">
                  <c:v>0.43421070207950291</c:v>
                </c:pt>
                <c:pt idx="47">
                  <c:v>-0.50197140629046522</c:v>
                </c:pt>
                <c:pt idx="48">
                  <c:v>0.48798714854205011</c:v>
                </c:pt>
                <c:pt idx="49">
                  <c:v>4.5620747276087267E-2</c:v>
                </c:pt>
                <c:pt idx="50">
                  <c:v>0.34601845489451671</c:v>
                </c:pt>
                <c:pt idx="51">
                  <c:v>0.63236003700029086</c:v>
                </c:pt>
                <c:pt idx="52">
                  <c:v>-0.10978845210366962</c:v>
                </c:pt>
                <c:pt idx="53">
                  <c:v>0.56654611174313596</c:v>
                </c:pt>
                <c:pt idx="54">
                  <c:v>1.7337933574906119</c:v>
                </c:pt>
                <c:pt idx="55">
                  <c:v>0.64826434097801855</c:v>
                </c:pt>
                <c:pt idx="56">
                  <c:v>0.67448987480174583</c:v>
                </c:pt>
                <c:pt idx="57">
                  <c:v>0.33184897281502612</c:v>
                </c:pt>
                <c:pt idx="58">
                  <c:v>1.0464176626004298</c:v>
                </c:pt>
                <c:pt idx="59">
                  <c:v>0.38524749427173177</c:v>
                </c:pt>
                <c:pt idx="60">
                  <c:v>0.83420371423389195</c:v>
                </c:pt>
                <c:pt idx="61">
                  <c:v>6.4748667304419263E-2</c:v>
                </c:pt>
                <c:pt idx="62">
                  <c:v>0.28269480774088906</c:v>
                </c:pt>
                <c:pt idx="63">
                  <c:v>-5.3825011696838843E-2</c:v>
                </c:pt>
                <c:pt idx="64">
                  <c:v>-0.8885594554135815</c:v>
                </c:pt>
                <c:pt idx="65">
                  <c:v>-1.0941145721128784</c:v>
                </c:pt>
                <c:pt idx="66">
                  <c:v>-0.71772362092229547</c:v>
                </c:pt>
                <c:pt idx="67">
                  <c:v>-0.36684912736513997</c:v>
                </c:pt>
                <c:pt idx="68">
                  <c:v>-1.0293268489994485</c:v>
                </c:pt>
                <c:pt idx="69">
                  <c:v>2.0052688431089547</c:v>
                </c:pt>
                <c:pt idx="70">
                  <c:v>-0.75140199039015165</c:v>
                </c:pt>
                <c:pt idx="71">
                  <c:v>-0.29091464017165236</c:v>
                </c:pt>
                <c:pt idx="72">
                  <c:v>0.17651060489146467</c:v>
                </c:pt>
                <c:pt idx="73">
                  <c:v>0.39656564982130338</c:v>
                </c:pt>
                <c:pt idx="74">
                  <c:v>-1.179324898078419</c:v>
                </c:pt>
                <c:pt idx="75">
                  <c:v>-0.8984942058130102</c:v>
                </c:pt>
                <c:pt idx="76">
                  <c:v>-1.1616419736373296</c:v>
                </c:pt>
                <c:pt idx="77">
                  <c:v>0.78849666633213189</c:v>
                </c:pt>
                <c:pt idx="78">
                  <c:v>1.7973145135854791</c:v>
                </c:pt>
                <c:pt idx="79">
                  <c:v>1.7982922174837679</c:v>
                </c:pt>
                <c:pt idx="80">
                  <c:v>-0.87964538894866895</c:v>
                </c:pt>
                <c:pt idx="81">
                  <c:v>-0.57739096607863394</c:v>
                </c:pt>
                <c:pt idx="82">
                  <c:v>-0.74479638960342698</c:v>
                </c:pt>
                <c:pt idx="83">
                  <c:v>-1.1739016657944243</c:v>
                </c:pt>
                <c:pt idx="84">
                  <c:v>-0.93552634686427039</c:v>
                </c:pt>
                <c:pt idx="85">
                  <c:v>-1.244747753523894</c:v>
                </c:pt>
                <c:pt idx="86">
                  <c:v>-0.45743306757015673</c:v>
                </c:pt>
                <c:pt idx="87">
                  <c:v>-1.059218366599894</c:v>
                </c:pt>
                <c:pt idx="88">
                  <c:v>-0.63884061987331076</c:v>
                </c:pt>
                <c:pt idx="89">
                  <c:v>0.28240680799864926</c:v>
                </c:pt>
                <c:pt idx="90">
                  <c:v>-0.24815519095165631</c:v>
                </c:pt>
                <c:pt idx="91">
                  <c:v>-0.18735812171582683</c:v>
                </c:pt>
                <c:pt idx="92">
                  <c:v>-0.34051470915248067</c:v>
                </c:pt>
                <c:pt idx="93">
                  <c:v>-0.72379059160943415</c:v>
                </c:pt>
                <c:pt idx="94">
                  <c:v>-0.92944349261583137</c:v>
                </c:pt>
                <c:pt idx="95">
                  <c:v>-0.44830010035174755</c:v>
                </c:pt>
                <c:pt idx="96">
                  <c:v>-0.54172272479911576</c:v>
                </c:pt>
                <c:pt idx="97">
                  <c:v>-1.6897797368762853E-2</c:v>
                </c:pt>
                <c:pt idx="98">
                  <c:v>0.59243178718713496</c:v>
                </c:pt>
                <c:pt idx="99">
                  <c:v>0.44423783538291306</c:v>
                </c:pt>
                <c:pt idx="100">
                  <c:v>-0.46612372566627347</c:v>
                </c:pt>
                <c:pt idx="101">
                  <c:v>0.11822087170637929</c:v>
                </c:pt>
                <c:pt idx="102">
                  <c:v>2.0500158482747732</c:v>
                </c:pt>
                <c:pt idx="103">
                  <c:v>1.4176175048310418</c:v>
                </c:pt>
                <c:pt idx="104">
                  <c:v>-2.7515280591084958E-2</c:v>
                </c:pt>
                <c:pt idx="105">
                  <c:v>0.35780767425621524</c:v>
                </c:pt>
                <c:pt idx="106">
                  <c:v>-1.2506932854951025E-2</c:v>
                </c:pt>
                <c:pt idx="107">
                  <c:v>0.2356762840645458</c:v>
                </c:pt>
                <c:pt idx="108">
                  <c:v>5.678903323748782E-3</c:v>
                </c:pt>
                <c:pt idx="109">
                  <c:v>0.48855961532572101</c:v>
                </c:pt>
                <c:pt idx="110">
                  <c:v>0.15762771306535464</c:v>
                </c:pt>
                <c:pt idx="111">
                  <c:v>0.33098338579246633</c:v>
                </c:pt>
                <c:pt idx="112">
                  <c:v>0.58792958381685079</c:v>
                </c:pt>
                <c:pt idx="113">
                  <c:v>-0.99274385499523066</c:v>
                </c:pt>
                <c:pt idx="114">
                  <c:v>-8.4278812217621374E-2</c:v>
                </c:pt>
                <c:pt idx="115">
                  <c:v>1.4732204927100663</c:v>
                </c:pt>
                <c:pt idx="116">
                  <c:v>0.42409519786929295</c:v>
                </c:pt>
                <c:pt idx="117">
                  <c:v>-0.46064514181809613</c:v>
                </c:pt>
                <c:pt idx="118">
                  <c:v>0.61777921703604821</c:v>
                </c:pt>
                <c:pt idx="119">
                  <c:v>-0.15735473217333329</c:v>
                </c:pt>
                <c:pt idx="120">
                  <c:v>-0.28136792268481831</c:v>
                </c:pt>
                <c:pt idx="121">
                  <c:v>-0.29131350819187446</c:v>
                </c:pt>
                <c:pt idx="122">
                  <c:v>-5.9680392525525421E-2</c:v>
                </c:pt>
                <c:pt idx="123">
                  <c:v>2.0891155305353024</c:v>
                </c:pt>
                <c:pt idx="124">
                  <c:v>4.4906937054687814</c:v>
                </c:pt>
                <c:pt idx="125">
                  <c:v>3.6002998520998717</c:v>
                </c:pt>
                <c:pt idx="126">
                  <c:v>-0.75640928833711529</c:v>
                </c:pt>
                <c:pt idx="127">
                  <c:v>-0.80592065761154075</c:v>
                </c:pt>
                <c:pt idx="128">
                  <c:v>-1.0201627189325946</c:v>
                </c:pt>
                <c:pt idx="129">
                  <c:v>0.26445386763329143</c:v>
                </c:pt>
                <c:pt idx="130">
                  <c:v>1.6510518820139448</c:v>
                </c:pt>
                <c:pt idx="131">
                  <c:v>0.88579583382388694</c:v>
                </c:pt>
                <c:pt idx="132">
                  <c:v>-0.84900585411626861</c:v>
                </c:pt>
                <c:pt idx="133">
                  <c:v>0.64767475865690383</c:v>
                </c:pt>
                <c:pt idx="134">
                  <c:v>0.92847208856603713</c:v>
                </c:pt>
                <c:pt idx="135">
                  <c:v>0.45984604415296204</c:v>
                </c:pt>
                <c:pt idx="136">
                  <c:v>-0.52252584257866153</c:v>
                </c:pt>
                <c:pt idx="137">
                  <c:v>0.8300177225870029</c:v>
                </c:pt>
                <c:pt idx="138">
                  <c:v>-0.65629499063783314</c:v>
                </c:pt>
                <c:pt idx="139">
                  <c:v>-0.31886976034840264</c:v>
                </c:pt>
                <c:pt idx="140">
                  <c:v>0.34450618217766998</c:v>
                </c:pt>
                <c:pt idx="141">
                  <c:v>1.302928803953779</c:v>
                </c:pt>
                <c:pt idx="142">
                  <c:v>0.98111786763124587</c:v>
                </c:pt>
                <c:pt idx="143">
                  <c:v>-0.45369380767920126</c:v>
                </c:pt>
                <c:pt idx="144">
                  <c:v>0.36525888467731527</c:v>
                </c:pt>
                <c:pt idx="145">
                  <c:v>-0.27981923254651281</c:v>
                </c:pt>
                <c:pt idx="146">
                  <c:v>0.52857595297156068</c:v>
                </c:pt>
                <c:pt idx="147">
                  <c:v>1.1188102654856684</c:v>
                </c:pt>
                <c:pt idx="148">
                  <c:v>0.71383909568756665</c:v>
                </c:pt>
                <c:pt idx="149">
                  <c:v>-0.19880187179573805</c:v>
                </c:pt>
                <c:pt idx="150">
                  <c:v>-0.48537132566973323</c:v>
                </c:pt>
                <c:pt idx="151">
                  <c:v>1.2219975028287799</c:v>
                </c:pt>
                <c:pt idx="152">
                  <c:v>-2.4510615648352961E-2</c:v>
                </c:pt>
                <c:pt idx="153">
                  <c:v>0.55441735932811287</c:v>
                </c:pt>
                <c:pt idx="154">
                  <c:v>0.96753843033973419</c:v>
                </c:pt>
                <c:pt idx="155">
                  <c:v>0.72668883081543312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9F-3D46-BC83-1A21A1CE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82340511"/>
        <c:axId val="1782342159"/>
      </c:barChart>
      <c:catAx>
        <c:axId val="1782340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82342159"/>
        <c:crosses val="autoZero"/>
        <c:auto val="1"/>
        <c:lblAlgn val="ctr"/>
        <c:lblOffset val="100"/>
        <c:noMultiLvlLbl val="0"/>
      </c:catAx>
      <c:valAx>
        <c:axId val="1782342159"/>
        <c:scaling>
          <c:orientation val="minMax"/>
          <c:max val="5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8234051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Competitive</a:t>
            </a:r>
            <a:r>
              <a:rPr lang="en-US" baseline="0"/>
              <a:t> Clout vs Vulnerability For Total Market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'Part 2 - Q1+Q2'!$B$6</c:f>
              <c:strCache>
                <c:ptCount val="1"/>
                <c:pt idx="0">
                  <c:v>DiGiorno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'Part 2 - Q1+Q2'!$C$12</c:f>
              <c:numCache>
                <c:formatCode>General</c:formatCode>
                <c:ptCount val="1"/>
                <c:pt idx="0">
                  <c:v>2.782</c:v>
                </c:pt>
              </c:numCache>
            </c:numRef>
          </c:xVal>
          <c:yVal>
            <c:numRef>
              <c:f>'Part 2 - Q1+Q2'!$I$6</c:f>
              <c:numCache>
                <c:formatCode>General</c:formatCode>
                <c:ptCount val="1"/>
                <c:pt idx="0">
                  <c:v>0.94099999999999995</c:v>
                </c:pt>
              </c:numCache>
            </c:numRef>
          </c:yVal>
          <c:bubbleSize>
            <c:numRef>
              <c:f>'Part 2 - Q1+Q2'!$J$6</c:f>
              <c:numCache>
                <c:formatCode>0.00%</c:formatCode>
                <c:ptCount val="1"/>
                <c:pt idx="0">
                  <c:v>8.5482773600138062E-2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31F4-1440-B539-91922A35B385}"/>
            </c:ext>
          </c:extLst>
        </c:ser>
        <c:ser>
          <c:idx val="1"/>
          <c:order val="1"/>
          <c:tx>
            <c:strRef>
              <c:f>'Part 2 - Q1+Q2'!$B$7</c:f>
              <c:strCache>
                <c:ptCount val="1"/>
                <c:pt idx="0">
                  <c:v>Fresch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'Part 2 - Q1+Q2'!$D$12</c:f>
              <c:numCache>
                <c:formatCode>General</c:formatCode>
                <c:ptCount val="1"/>
                <c:pt idx="0">
                  <c:v>1.5029999999999999</c:v>
                </c:pt>
              </c:numCache>
            </c:numRef>
          </c:xVal>
          <c:yVal>
            <c:numRef>
              <c:f>'Part 2 - Q1+Q2'!$I$7</c:f>
              <c:numCache>
                <c:formatCode>General</c:formatCode>
                <c:ptCount val="1"/>
                <c:pt idx="0">
                  <c:v>2.637</c:v>
                </c:pt>
              </c:numCache>
            </c:numRef>
          </c:yVal>
          <c:bubbleSize>
            <c:numRef>
              <c:f>'Part 2 - Q1+Q2'!$J$7</c:f>
              <c:numCache>
                <c:formatCode>0.00%</c:formatCode>
                <c:ptCount val="1"/>
                <c:pt idx="0">
                  <c:v>6.639740230372973E-2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31F4-1440-B539-91922A35B385}"/>
            </c:ext>
          </c:extLst>
        </c:ser>
        <c:ser>
          <c:idx val="2"/>
          <c:order val="2"/>
          <c:tx>
            <c:strRef>
              <c:f>'Part 2 - Q1+Q2'!$B$8</c:f>
              <c:strCache>
                <c:ptCount val="1"/>
                <c:pt idx="0">
                  <c:v>JO</c:v>
                </c:pt>
              </c:strCache>
            </c:strRef>
          </c:tx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'Part 2 - Q1+Q2'!$E$12</c:f>
              <c:numCache>
                <c:formatCode>General</c:formatCode>
                <c:ptCount val="1"/>
                <c:pt idx="0">
                  <c:v>1.458</c:v>
                </c:pt>
              </c:numCache>
            </c:numRef>
          </c:xVal>
          <c:yVal>
            <c:numRef>
              <c:f>'Part 2 - Q1+Q2'!$I$8</c:f>
              <c:numCache>
                <c:formatCode>General</c:formatCode>
                <c:ptCount val="1"/>
                <c:pt idx="0">
                  <c:v>1.2370000000000001</c:v>
                </c:pt>
              </c:numCache>
            </c:numRef>
          </c:yVal>
          <c:bubbleSize>
            <c:numRef>
              <c:f>'Part 2 - Q1+Q2'!$J$8</c:f>
              <c:numCache>
                <c:formatCode>0.00%</c:formatCode>
                <c:ptCount val="1"/>
                <c:pt idx="0">
                  <c:v>0.4458313282646254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31F4-1440-B539-91922A35B385}"/>
            </c:ext>
          </c:extLst>
        </c:ser>
        <c:ser>
          <c:idx val="3"/>
          <c:order val="3"/>
          <c:tx>
            <c:strRef>
              <c:f>'Part 2 - Q1+Q2'!$B$9</c:f>
              <c:strCache>
                <c:ptCount val="1"/>
                <c:pt idx="0">
                  <c:v>RB</c:v>
                </c:pt>
              </c:strCache>
            </c:strRef>
          </c:tx>
          <c:spPr>
            <a:solidFill>
              <a:schemeClr val="accent4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'Part 2 - Q1+Q2'!$F$12</c:f>
              <c:numCache>
                <c:formatCode>General</c:formatCode>
                <c:ptCount val="1"/>
                <c:pt idx="0">
                  <c:v>0.75700000000000001</c:v>
                </c:pt>
              </c:numCache>
            </c:numRef>
          </c:xVal>
          <c:yVal>
            <c:numRef>
              <c:f>'Part 2 - Q1+Q2'!$I$9</c:f>
              <c:numCache>
                <c:formatCode>General</c:formatCode>
                <c:ptCount val="1"/>
                <c:pt idx="0">
                  <c:v>1.8839999999999999</c:v>
                </c:pt>
              </c:numCache>
            </c:numRef>
          </c:yVal>
          <c:bubbleSize>
            <c:numRef>
              <c:f>'Part 2 - Q1+Q2'!$J$9</c:f>
              <c:numCache>
                <c:formatCode>0.00%</c:formatCode>
                <c:ptCount val="1"/>
                <c:pt idx="0">
                  <c:v>0.15526844778920099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31F4-1440-B539-91922A35B385}"/>
            </c:ext>
          </c:extLst>
        </c:ser>
        <c:ser>
          <c:idx val="4"/>
          <c:order val="4"/>
          <c:tx>
            <c:strRef>
              <c:f>'Part 2 - Q1+Q2'!$B$10</c:f>
              <c:strCache>
                <c:ptCount val="1"/>
                <c:pt idx="0">
                  <c:v>Tomb</c:v>
                </c:pt>
              </c:strCache>
            </c:strRef>
          </c:tx>
          <c:spPr>
            <a:solidFill>
              <a:schemeClr val="accent5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'Part 2 - Q1+Q2'!$G$12</c:f>
              <c:numCache>
                <c:formatCode>General</c:formatCode>
                <c:ptCount val="1"/>
                <c:pt idx="0">
                  <c:v>1.5089999999999999</c:v>
                </c:pt>
              </c:numCache>
            </c:numRef>
          </c:xVal>
          <c:yVal>
            <c:numRef>
              <c:f>'Part 2 - Q1+Q2'!$I$10</c:f>
              <c:numCache>
                <c:formatCode>General</c:formatCode>
                <c:ptCount val="1"/>
                <c:pt idx="0">
                  <c:v>0.47</c:v>
                </c:pt>
              </c:numCache>
            </c:numRef>
          </c:yVal>
          <c:bubbleSize>
            <c:numRef>
              <c:f>'Part 2 - Q1+Q2'!$J$10</c:f>
              <c:numCache>
                <c:formatCode>0.00%</c:formatCode>
                <c:ptCount val="1"/>
                <c:pt idx="0">
                  <c:v>0.16072400667276288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31F4-1440-B539-91922A35B385}"/>
            </c:ext>
          </c:extLst>
        </c:ser>
        <c:ser>
          <c:idx val="5"/>
          <c:order val="5"/>
          <c:tx>
            <c:strRef>
              <c:f>'Part 2 - Q1+Q2'!$B$11</c:f>
              <c:strCache>
                <c:ptCount val="1"/>
                <c:pt idx="0">
                  <c:v>TO</c:v>
                </c:pt>
              </c:strCache>
            </c:strRef>
          </c:tx>
          <c:spPr>
            <a:solidFill>
              <a:schemeClr val="accent6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'Part 2 - Q1+Q2'!$H$12</c:f>
              <c:numCache>
                <c:formatCode>General</c:formatCode>
                <c:ptCount val="1"/>
                <c:pt idx="0">
                  <c:v>0.59599999999999997</c:v>
                </c:pt>
              </c:numCache>
            </c:numRef>
          </c:xVal>
          <c:yVal>
            <c:numRef>
              <c:f>'Part 2 - Q1+Q2'!$I$11</c:f>
              <c:numCache>
                <c:formatCode>General</c:formatCode>
                <c:ptCount val="1"/>
                <c:pt idx="0">
                  <c:v>1.4359999999999999</c:v>
                </c:pt>
              </c:numCache>
            </c:numRef>
          </c:yVal>
          <c:bubbleSize>
            <c:numRef>
              <c:f>'Part 2 - Q1+Q2'!$J$11</c:f>
              <c:numCache>
                <c:formatCode>0.00%</c:formatCode>
                <c:ptCount val="1"/>
                <c:pt idx="0">
                  <c:v>8.6296041369542928E-2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6-31F4-1440-B539-91922A35B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890273503"/>
        <c:axId val="1889942063"/>
      </c:bubbleChart>
      <c:valAx>
        <c:axId val="189027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Clout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942063"/>
        <c:crosses val="autoZero"/>
        <c:crossBetween val="midCat"/>
      </c:valAx>
      <c:valAx>
        <c:axId val="188994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Vulnerability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27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5" sel="1" val="0">
  <itemLst>
    <item val="Summary statistics"/>
    <item val="Correlation matrix"/>
    <item val="Regression of variable Ln(UVolTO)"/>
    <item val="Goodness of fit statistics (Ln(UVolTO))"/>
    <item val="Analysis of variance  (Ln(UVolTO))"/>
    <item val="Model parameters (Ln(UVolTO))"/>
    <item val="Equation of the model (Ln(UVolTO))"/>
    <item val="Standardized coefficients (Ln(UVolTO))"/>
    <item val="Predictions and residuals (Ln(UVolTO))"/>
  </itemLst>
</formControlPr>
</file>

<file path=xl/ctrlProps/ctrlProp2.xml><?xml version="1.0" encoding="utf-8"?>
<formControlPr xmlns="http://schemas.microsoft.com/office/spreadsheetml/2009/9/main" objectType="Drop" dropStyle="combo" dx="15" sel="1" val="0">
  <itemLst>
    <item val="Summary statistics"/>
    <item val="Correlation matrix"/>
    <item val="Regression of variable Ln(UVolTomb)"/>
    <item val="Goodness of fit statistics (Ln(UVolTomb))"/>
    <item val="Analysis of variance  (Ln(UVolTomb))"/>
    <item val="Model parameters (Ln(UVolTomb))"/>
    <item val="Equation of the model (Ln(UVolTomb))"/>
    <item val="Standardized coefficients (Ln(UVolTomb))"/>
    <item val="Predictions and residuals (Ln(UVolTomb))"/>
  </itemLst>
</formControlPr>
</file>

<file path=xl/ctrlProps/ctrlProp3.xml><?xml version="1.0" encoding="utf-8"?>
<formControlPr xmlns="http://schemas.microsoft.com/office/spreadsheetml/2009/9/main" objectType="Drop" dropStyle="combo" dx="15" sel="1" val="0">
  <itemLst>
    <item val="Summary statistics"/>
    <item val="Correlation matrix"/>
    <item val="Regression of variable Ln(UVolRB)"/>
    <item val="Goodness of fit statistics (Ln(UVolRB))"/>
    <item val="Analysis of variance  (Ln(UVolRB))"/>
    <item val="Model parameters (Ln(UVolRB))"/>
    <item val="Equation of the model (Ln(UVolRB))"/>
    <item val="Standardized coefficients (Ln(UVolRB))"/>
    <item val="Predictions and residuals (Ln(UVolRB))"/>
  </itemLst>
</formControlPr>
</file>

<file path=xl/ctrlProps/ctrlProp4.xml><?xml version="1.0" encoding="utf-8"?>
<formControlPr xmlns="http://schemas.microsoft.com/office/spreadsheetml/2009/9/main" objectType="Drop" dropStyle="combo" dx="15" sel="1" val="0">
  <itemLst>
    <item val="Summary statistics"/>
    <item val="Correlation matrix"/>
    <item val="Regression of variable Ln(UVolJO)"/>
    <item val="Goodness of fit statistics (Ln(UVolJO))"/>
    <item val="Analysis of variance  (Ln(UVolJO))"/>
    <item val="Model parameters (Ln(UVolJO))"/>
    <item val="Equation of the model (Ln(UVolJO))"/>
    <item val="Standardized coefficients (Ln(UVolJO))"/>
    <item val="Predictions and residuals (Ln(UVolJO))"/>
  </itemLst>
</formControlPr>
</file>

<file path=xl/ctrlProps/ctrlProp5.xml><?xml version="1.0" encoding="utf-8"?>
<formControlPr xmlns="http://schemas.microsoft.com/office/spreadsheetml/2009/9/main" objectType="Drop" dropStyle="combo" dx="15" sel="1" val="0">
  <itemLst>
    <item val="Summary statistics"/>
    <item val="Correlation matrix"/>
    <item val="Regression of variable Ln(UVolFre)"/>
    <item val="Goodness of fit statistics (Ln(UVolFre))"/>
    <item val="Analysis of variance  (Ln(UVolFre))"/>
    <item val="Model parameters (Ln(UVolFre))"/>
    <item val="Equation of the model (Ln(UVolFre))"/>
    <item val="Standardized coefficients (Ln(UVolFre))"/>
    <item val="Predictions and residuals (Ln(UVolFre))"/>
  </itemLst>
</formControlPr>
</file>

<file path=xl/ctrlProps/ctrlProp6.xml><?xml version="1.0" encoding="utf-8"?>
<formControlPr xmlns="http://schemas.microsoft.com/office/spreadsheetml/2009/9/main" objectType="Drop" dropStyle="combo" dx="15" sel="1" val="0">
  <itemLst>
    <item val="Summary statistics"/>
    <item val="Correlation matrix"/>
    <item val="Regression of variable Ln(UVolDiG)"/>
    <item val="Goodness of fit statistics (Ln(UVolDiG))"/>
    <item val="Analysis of variance  (Ln(UVolDiG))"/>
    <item val="Model parameters (Ln(UVolDiG))"/>
    <item val="Equation of the model (Ln(UVolDiG))"/>
    <item val="Standardized coefficients (Ln(UVolDiG))"/>
    <item val="Predictions and residuals (Ln(UVolDiG)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image" Target="../media/image3.png"/><Relationship Id="rId7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10" Type="http://schemas.openxmlformats.org/officeDocument/2006/relationships/chart" Target="../charts/chart10.xml"/><Relationship Id="rId4" Type="http://schemas.openxmlformats.org/officeDocument/2006/relationships/image" Target="../media/image4.png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image" Target="../media/image3.png"/><Relationship Id="rId7" Type="http://schemas.openxmlformats.org/officeDocument/2006/relationships/chart" Target="../charts/chart1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image" Target="../media/image5.png"/><Relationship Id="rId10" Type="http://schemas.openxmlformats.org/officeDocument/2006/relationships/chart" Target="../charts/chart15.xml"/><Relationship Id="rId4" Type="http://schemas.openxmlformats.org/officeDocument/2006/relationships/image" Target="../media/image4.png"/><Relationship Id="rId9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image" Target="../media/image3.png"/><Relationship Id="rId7" Type="http://schemas.openxmlformats.org/officeDocument/2006/relationships/chart" Target="../charts/chart1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6.xml"/><Relationship Id="rId5" Type="http://schemas.openxmlformats.org/officeDocument/2006/relationships/image" Target="../media/image5.png"/><Relationship Id="rId10" Type="http://schemas.openxmlformats.org/officeDocument/2006/relationships/chart" Target="../charts/chart20.xml"/><Relationship Id="rId4" Type="http://schemas.openxmlformats.org/officeDocument/2006/relationships/image" Target="../media/image4.png"/><Relationship Id="rId9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image" Target="../media/image3.png"/><Relationship Id="rId7" Type="http://schemas.openxmlformats.org/officeDocument/2006/relationships/chart" Target="../charts/chart2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1.xml"/><Relationship Id="rId5" Type="http://schemas.openxmlformats.org/officeDocument/2006/relationships/image" Target="../media/image5.png"/><Relationship Id="rId10" Type="http://schemas.openxmlformats.org/officeDocument/2006/relationships/chart" Target="../charts/chart25.xml"/><Relationship Id="rId4" Type="http://schemas.openxmlformats.org/officeDocument/2006/relationships/image" Target="../media/image4.png"/><Relationship Id="rId9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image" Target="../media/image3.png"/><Relationship Id="rId7" Type="http://schemas.openxmlformats.org/officeDocument/2006/relationships/chart" Target="../charts/chart2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6.xml"/><Relationship Id="rId5" Type="http://schemas.openxmlformats.org/officeDocument/2006/relationships/image" Target="../media/image5.png"/><Relationship Id="rId10" Type="http://schemas.openxmlformats.org/officeDocument/2006/relationships/chart" Target="../charts/chart30.xml"/><Relationship Id="rId4" Type="http://schemas.openxmlformats.org/officeDocument/2006/relationships/image" Target="../media/image4.png"/><Relationship Id="rId9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842833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CheckBoxTrans,CheckBox,False,False,04,False,Trans,False,,,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CheckBoxSort,CheckBox,False,True,510000000201_Outputs|Means,True,Sort up,False,,,
CheckBoxApplyAll,CheckBox,False,True,510000000101_Outputs|Means,True,Apply to all factors,False,,,
CheckBoxMCompare,CheckBox,False,True,510000000001_Outputs|Means,True,Multiple comparisons,False,,,
CheckBoxCIMeans,CheckBox,False,True,510000000301_Outputs|Means,True,Confidence intervals,False,,,
CheckBoxSlopes,CheckBox,False,False,510000000401_Outputs|Means,False,Comparison of slopes,False,,,
CheckBoxPairwise,CheckBox,False,True,510000000002_Outputs|Means,True,Pairwise comparisons,False,,,
CheckBoxControl,CheckBox,False,True,510000000202_Outputs|Means,True,Comparisons with a control,False,,,
CheckBoxMeanSq,CheckBox,False,True,510000000402_Outputs|Means,True,Choose the MSE,False,,,
CheckBoxProtected,CheckBox,False,True,510000000502_Outputs|Means,True,Protected,False,,,
CheckBoxTB,CheckBox,False,True,510000000602_Outputs|Means,True,Top/Bottom boxes,False,,,
OptionButtonTB2,OptionButton,True,True,510000000702_Outputs|Means,True,2,False,,,
OptionButtonTB3,OptionButton,False,True,510000000802_Outputs|Means,True,3,False,,,
ListBoxControl,ListBox,,True,510000000302_Outputs|Means,True,Comparisons with a control:,False,,,
ListBoxPairwise,ListBox,,True,510000000102_Outputs|Means,True,Pairwise comparisons:,False,,,
CheckBoxMeanConfTab,CheckBox,True,True,510000000100_Outputs|Means,True,Confidence interval,False,,,
CheckBoxMeans,CheckBox,True,True,510000000000_Outputs|Means,True,Means,False,,,
CheckBoxMeanStdError,CheckBox,True,True,510000000200_Outputs|Means,True,Standard errors,False,,,
CheckBoxLSM,CheckBox,True,True,510000000300_Outputs|Means,True,LS means,False,,,
CheckBox_Desc,CheckBox,True,True,500000000000_Outputs|General,True,Descriptive statistics,False,,,
CheckBox_Corr,CheckBox,True,True,500000000100_Outputs|General,True,Correlations,False,,,
CheckBox_AV,CheckBox,True,True,500000000300_Outputs|General,True,Analysis of variance,False,,,
CheckBoxPress,CheckBox,False,True,500000000500_Outputs|General,True,Press,False,,,
CheckBox_TISS,CheckBox,False,True,500000000400_Outputs|General,True,Type I/III SS,False,,,
CheckBoxMultiCo,CheckBox,False,True,500000000200_Outputs|General,True,Multicolinearity statistics,False,,,
CheckBoxInterpret,CheckBox,False,True,500000000600_Outputs|General,True,Interpretation,False,,,
CheckBox_Resid,CheckBox,True,True,500000000101_Outputs|General,True,Predictions and residuals,False,,,
CheckBoxStdCoeff,CheckBox,True,True,500000000001_Outputs|General,True,Standardized coefficients,False,,,
CheckBoxDiag,CheckBox,False,True,500000000501_Outputs|General,True,Influence diagnostics,False,,,
CheckBoxAdjPred,CheckBox,False,True,500000000401_Outputs|General,True,Adjusted predictions,False,,,
CheckBoxWelch,CheckBox,False,False,500000000601_Outputs|General,False,Welch statistic,False,,,
CheckBoxDispX,CheckBox,False,True,500000000201_Outputs|General,True,X,False,,,
CheckBoxPredConf,CheckBox,True,True,500000000301_Outputs|General,True,Confidence intervals,False,,,
CheckBoxContrasts,CheckBox,False,True,520000000000_Outputs|Contrasts,True,Compute contrasts,False,,,
RefEditContrasts,RefEdit,,True,520000000200_Outputs|Contrasts,True,Definition:,False,,,
CheckBoxLevene,CheckBox,False,False,530000000000_Outputs|Test assumptions,False,Levene's test,False,,,
CheckBox_Intercept,CheckBox,False,True,100000000000_Options|Model,True,Fixed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CheckBox_Interactions,CheckBox,False,True,100000000200_Options|Model,True,Interactions / Level,False,,,
TextBoxLevel,TextBox,2,True,100000010200_Options|Model,True,,False,,,
ComboBox_Selection,ComboBox,0,True,100000000101_Options|Model,True,Choose a model selection method,False,,,
CheckBox_Selection,CheckBox,False,True,100000000001_Options|Model,True,Model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CheckBoxNested,CheckBox,False,True,110000000100_Options|ANOVA / ANCOVA,True,Nested effects,False,,,
CheckBoxHetero,CheckBox,False,True,120000000000_Options|Covariances,True,Heteroscedasticity,False,,,
ComboBoxHACMethod,ComboBox,0,True,120000010100_Options|Covariances,True,Method:,False,,,
CheckBoxAutoCorr,CheckBox,False,True,120000000200_Options|Covariances,True,Autocorrelation,False,,,
TextBoxLag,TextBox,1,True,120000010300_Options|Covariances,True,Lag: ,False,,,
CheckBox_Predict,CheckBox,False,True,300000000102_Prediction,True,Prediction,False,,,
RefEdit_QPred,RefEdit0,,True,300000000402_Prediction,True,Qualitative:,False,,,
RefEdit_XPred,RefEdit0,,True,300000000302_Prediction,True,Quantitative:,False,,,
CheckBox_ObsLabelsPred,CheckBox,False,True,300000000502_Prediction,True,Observation labels,False,,,
RefEdit_PredLabels,RefEdit0,,True,300000000602_Prediction,True,,False,,,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CheckBoxResidCharts,CheckBox,True,True,600000000200_Charts,True,Predictions and residuals,False,,,
CheckBoxRegCharts,CheckBox,True,True,600000000000_Charts,True,Regression charts,False,,,
CheckBoxChartsCoeff,CheckBox,True,True,600000000100_Charts,True,Standardized coefficients,False,,,
CheckBox_Conf,CheckBox,True,True,600000000300_Charts,True,Confidence intervals,False,,,
OptionButtonCol,OptionButton,True,True,000000010000_General,True,Column,False,,,
OptionButtonTab,OptionButton,False,True,000000020000_General,True,Table,False,,,
RefEditDataTable,RefEdit0,,True,000000010100_General,True,Data table:,False,,,
TextBoxNbFactors,TextBox,1,True,000001030100_General,True,Number of factors:,False,,,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RefEdit_Wr,RefEdit0,,True,000000060301_General,True,Regression weights:,False,,,
CheckBox_Wr,CheckBox,False,True,000000050301_General,True,Regression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FileSelect2,CommandButton,,False,300000000702_Prediction,False,,False,,,
CheckBoxNorm,CheckBox,False,True,530000000100_Outputs|Test assumptions,True,Normality test,False,,,
OptionButtonMean,OptionButton,True,True,530000000200_Outputs|Test assumptions,True,Mean,False,,,
OptionButtonMedian,OptionButton,False,True,530000010200_Outputs|Test assumptions,True,Median,False,,,
RefEdit_Y,RefEdit0,'Sheet1'!$X$1:$X$157,True,000000010200_General,True,Y / Dependent variables:,False,,157,1
FileSelect1,CommandButton,,False,000000020200_General,False,,False,,,
ScrollBarSelect,ScrollBar,0,False,05,False,,,,,
CheckBox_X,CheckBox,True,True,000000050200_General,True,Quantitative,False,,,
RefEdit_X,RefEdit0,'Sheet1'!$O$1:$O$157&lt;CM&gt;'Sheet1'!$Q$1:$Q$157&lt;CM&gt;'Sheet1'!$S$1:$S$157&lt;CM&gt;'Sheet1'!$U$1:$U$157&lt;CM&gt;'Sheet1'!$W$1:$W$157&lt;CM&gt;'Sheet1'!$Y$1:$Y$157,True,000002050200_General,True,X / Explanatory variables:,False,,157,6
CheckBox_Q,CheckBox,False,True,000003050200_General,True,Qualitative,False,,,
RefEdit_Q,RefEdit0,,True,000004050200_General,True,Qualitative:,False,,,
CheckBoxMeansCharts,CheckBox,True,True,600000000400_Charts,True,Means charts,False,,,
CheckBoxMeanConf,CheckBox,False,True,600000010400_Charts,True,Confidence intervals,False,,,
CheckBoxBar,CheckBox,False,True,600000030400_Charts,True,Bar chart,False,,,
CheckBox_PredVarLabels,CheckBox,False,True,300000001002_Prediction,True,Variable labels,False,,,
ScrollBarLevel,SpinButton,2,True,100000020200_Options|Model,False,,,,,
CheckBoxRand,CheckBox,False,True,110000000200_Options|ANOVA / ANCOVA,True,Random effects,False,,,
CheckBoxRestricted,CheckBox,False,True,110000010200_Options|ANOVA / ANCOVA,True,Restricted ANOVA,False,,,
CheckBoxProp,CheckBox,False,True,600000020400_Charts,True,Proportional,False,,,
CheckBoxSummary,CheckBox,True,True,510000000902_Outputs|Means,True,Summary,False,,,
CheckBoxSumCharts,CheckBox,True,True,600000000101_Charts,True,Summary charts,False,,,
CheckBoxFilterY,CheckBox,False,True,600000000001_Charts,True,Filter Ys,False,,,
CheckBoxDemsar,CheckBox,False,False,600000040400_Charts,False,Demsar plots,False,,,
CheckBoxContBonf,CheckBox,True,True,520000000300_Outputs|Contrasts,True,Bonferroni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84283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4" name="BT84283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5" name="RM84283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AD842833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7" name="WD84283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8" name="PT84283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89</xdr:row>
      <xdr:rowOff>0</xdr:rowOff>
    </xdr:from>
    <xdr:to>
      <xdr:col>6</xdr:col>
      <xdr:colOff>0</xdr:colOff>
      <xdr:row>109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292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292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272</xdr:row>
      <xdr:rowOff>0</xdr:rowOff>
    </xdr:from>
    <xdr:to>
      <xdr:col>16</xdr:col>
      <xdr:colOff>254000</xdr:colOff>
      <xdr:row>292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4337" name="DD479720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38030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CheckBoxTrans,CheckBox,False,False,04,False,Trans,False,,,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CheckBoxSort,CheckBox,False,True,510000000201_Outputs|Means,True,Sort up,False,,,
CheckBoxApplyAll,CheckBox,False,True,510000000101_Outputs|Means,True,Apply to all factors,False,,,
CheckBoxMCompare,CheckBox,False,True,510000000001_Outputs|Means,True,Multiple comparisons,False,,,
CheckBoxCIMeans,CheckBox,False,True,510000000301_Outputs|Means,True,Confidence intervals,False,,,
CheckBoxSlopes,CheckBox,False,False,510000000401_Outputs|Means,False,Comparison of slopes,False,,,
CheckBoxPairwise,CheckBox,False,True,510000000002_Outputs|Means,True,Pairwise comparisons,False,,,
CheckBoxControl,CheckBox,False,True,510000000202_Outputs|Means,True,Comparisons with a control,False,,,
CheckBoxMeanSq,CheckBox,False,True,510000000402_Outputs|Means,True,Choose the MSE,False,,,
CheckBoxProtected,CheckBox,False,True,510000000502_Outputs|Means,True,Protected,False,,,
CheckBoxTB,CheckBox,False,True,510000000602_Outputs|Means,True,Top/Bottom boxes,False,,,
OptionButtonTB2,OptionButton,True,True,510000000702_Outputs|Means,True,2,False,,,
OptionButtonTB3,OptionButton,False,True,510000000802_Outputs|Means,True,3,False,,,
ListBoxControl,ListBox,,True,510000000302_Outputs|Means,True,Comparisons with a control:,False,,,
ListBoxPairwise,ListBox,,True,510000000102_Outputs|Means,True,Pairwise comparisons:,False,,,
CheckBoxMeanConfTab,CheckBox,True,True,510000000100_Outputs|Means,True,Confidence interval,False,,,
CheckBoxMeans,CheckBox,True,True,510000000000_Outputs|Means,True,Means,False,,,
CheckBoxMeanStdError,CheckBox,True,True,510000000200_Outputs|Means,True,Standard errors,False,,,
CheckBoxLSM,CheckBox,True,True,510000000300_Outputs|Means,True,LS means,False,,,
CheckBox_Desc,CheckBox,True,True,500000000000_Outputs|General,True,Descriptive statistics,False,,,
CheckBox_Corr,CheckBox,True,True,500000000100_Outputs|General,True,Correlations,False,,,
CheckBox_AV,CheckBox,True,True,500000000300_Outputs|General,True,Analysis of variance,False,,,
CheckBoxPress,CheckBox,False,True,500000000500_Outputs|General,True,Press,False,,,
CheckBox_TISS,CheckBox,False,True,500000000400_Outputs|General,True,Type I/III SS,False,,,
CheckBoxMultiCo,CheckBox,False,True,500000000200_Outputs|General,True,Multicolinearity statistics,False,,,
CheckBoxInterpret,CheckBox,False,True,500000000600_Outputs|General,True,Interpretation,False,,,
CheckBox_Resid,CheckBox,True,True,500000000101_Outputs|General,True,Predictions and residuals,False,,,
CheckBoxStdCoeff,CheckBox,True,True,500000000001_Outputs|General,True,Standardized coefficients,False,,,
CheckBoxDiag,CheckBox,False,True,500000000501_Outputs|General,True,Influence diagnostics,False,,,
CheckBoxAdjPred,CheckBox,False,True,500000000401_Outputs|General,True,Adjusted predictions,False,,,
CheckBoxWelch,CheckBox,False,False,500000000601_Outputs|General,False,Welch statistic,False,,,
CheckBoxDispX,CheckBox,False,True,500000000201_Outputs|General,True,X,False,,,
CheckBoxPredConf,CheckBox,True,True,500000000301_Outputs|General,True,Confidence intervals,False,,,
CheckBoxContrasts,CheckBox,False,True,520000000000_Outputs|Contrasts,True,Compute contrasts,False,,,
RefEditContrasts,RefEdit,,True,520000000200_Outputs|Contrasts,True,Definition:,False,,,
CheckBoxLevene,CheckBox,False,False,530000000000_Outputs|Test assumptions,False,Levene's test,False,,,
CheckBox_Intercept,CheckBox,False,True,100000000000_Options|Model,True,Fixed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CheckBox_Interactions,CheckBox,False,True,100000000200_Options|Model,True,Interactions / Level,False,,,
TextBoxLevel,TextBox,2,True,100000010200_Options|Model,True,,False,,,
ComboBox_Selection,ComboBox,0,True,100000000101_Options|Model,True,Choose a model selection method,False,,,
CheckBox_Selection,CheckBox,False,True,100000000001_Options|Model,True,Model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CheckBoxNested,CheckBox,False,True,110000000100_Options|ANOVA / ANCOVA,True,Nested effects,False,,,
CheckBoxHetero,CheckBox,False,True,120000000000_Options|Covariances,True,Heteroscedasticity,False,,,
ComboBoxHACMethod,ComboBox,0,True,120000010100_Options|Covariances,True,Method:,False,,,
CheckBoxAutoCorr,CheckBox,False,True,120000000200_Options|Covariances,True,Autocorrelation,False,,,
TextBoxLag,TextBox,1,True,120000010300_Options|Covariances,True,Lag: ,False,,,
CheckBox_Predict,CheckBox,False,True,300000000102_Prediction,True,Prediction,False,,,
RefEdit_QPred,RefEdit0,,True,300000000402_Prediction,True,Qualitative:,False,,,
RefEdit_XPred,RefEdit0,,True,300000000302_Prediction,True,Quantitative:,False,,,
CheckBox_ObsLabelsPred,CheckBox,False,True,300000000502_Prediction,True,Observation labels,False,,,
RefEdit_PredLabels,RefEdit0,,True,300000000602_Prediction,True,,False,,,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CheckBoxResidCharts,CheckBox,True,True,600000000200_Charts,True,Predictions and residuals,False,,,
CheckBoxRegCharts,CheckBox,True,True,600000000000_Charts,True,Regression charts,False,,,
CheckBoxChartsCoeff,CheckBox,True,True,600000000100_Charts,True,Standardized coefficients,False,,,
CheckBox_Conf,CheckBox,True,True,600000000300_Charts,True,Confidence intervals,False,,,
OptionButtonCol,OptionButton,True,True,000000010000_General,True,Column,False,,,
OptionButtonTab,OptionButton,False,True,000000020000_General,True,Table,False,,,
RefEditDataTable,RefEdit0,,True,000000010100_General,True,Data table:,False,,,
TextBoxNbFactors,TextBox,1,True,000001030100_General,True,Number of factors:,False,,,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RefEdit_Wr,RefEdit0,,True,000000060301_General,True,Regression weights:,False,,,
CheckBox_Wr,CheckBox,False,True,000000050301_General,True,Regression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FileSelect2,CommandButton,,False,300000000702_Prediction,False,,False,,,
CheckBoxNorm,CheckBox,False,True,530000000100_Outputs|Test assumptions,True,Normality test,False,,,
OptionButtonMean,OptionButton,True,True,530000000200_Outputs|Test assumptions,True,Mean,False,,,
OptionButtonMedian,OptionButton,False,True,530000010200_Outputs|Test assumptions,True,Median,False,,,
RefEdit_Y,RefEdit0,'Sheet1'!$V$1:$V$157,True,000000010200_General,True,Y / Dependent variables:,False,,157,1
FileSelect1,CommandButton,,False,000000020200_General,False,,False,,,
ScrollBarSelect,ScrollBar,0,False,05,False,,,,,
CheckBox_X,CheckBox,True,True,000000050200_General,True,Quantitative,False,,,
RefEdit_X,RefEdit0,'Sheet1'!$O$1:$O$157&lt;CM&gt;'Sheet1'!$Q$1:$Q$157&lt;CM&gt;'Sheet1'!$S$1:$S$157&lt;CM&gt;'Sheet1'!$U$1:$U$157&lt;CM&gt;'Sheet1'!$W$1:$W$157&lt;CM&gt;'Sheet1'!$Y$1:$Y$157,True,000002050200_General,True,X / Explanatory variables:,False,,157,6
CheckBox_Q,CheckBox,False,True,000003050200_General,True,Qualitative,False,,,
RefEdit_Q,RefEdit0,,True,000004050200_General,True,Qualitative:,False,,,
CheckBoxMeansCharts,CheckBox,True,True,600000000400_Charts,True,Means charts,False,,,
CheckBoxMeanConf,CheckBox,False,True,600000010400_Charts,True,Confidence intervals,False,,,
CheckBoxBar,CheckBox,False,True,600000030400_Charts,True,Bar chart,False,,,
CheckBox_PredVarLabels,CheckBox,False,True,300000001002_Prediction,True,Variable labels,False,,,
ScrollBarLevel,SpinButton,2,True,100000020200_Options|Model,False,,,,,
CheckBoxRand,CheckBox,False,True,110000000200_Options|ANOVA / ANCOVA,True,Random effects,False,,,
CheckBoxRestricted,CheckBox,False,True,110000010200_Options|ANOVA / ANCOVA,True,Restricted ANOVA,False,,,
CheckBoxProp,CheckBox,False,True,600000020400_Charts,True,Proportional,False,,,
CheckBoxSummary,CheckBox,True,True,510000000902_Outputs|Means,True,Summary,False,,,
CheckBoxSumCharts,CheckBox,True,True,600000000101_Charts,True,Summary charts,False,,,
CheckBoxFilterY,CheckBox,False,True,600000000001_Charts,True,Filter Ys,False,,,
CheckBoxDemsar,CheckBox,False,False,600000040400_Charts,False,Demsar plots,False,,,
CheckBoxContBonf,CheckBox,True,True,520000000300_Outputs|Contrasts,True,Bonferroni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93803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4" name="BT93803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5" name="RM93803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AD938030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7" name="WD93803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8" name="PT9380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89</xdr:row>
      <xdr:rowOff>0</xdr:rowOff>
    </xdr:from>
    <xdr:to>
      <xdr:col>6</xdr:col>
      <xdr:colOff>0</xdr:colOff>
      <xdr:row>109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292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292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272</xdr:row>
      <xdr:rowOff>0</xdr:rowOff>
    </xdr:from>
    <xdr:to>
      <xdr:col>16</xdr:col>
      <xdr:colOff>254000</xdr:colOff>
      <xdr:row>292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1265" name="DD983926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411938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CheckBoxTrans,CheckBox,False,False,04,False,Trans,False,,,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CheckBoxSort,CheckBox,False,True,510000000201_Outputs|Means,True,Sort up,False,,,
CheckBoxApplyAll,CheckBox,False,True,510000000101_Outputs|Means,True,Apply to all factors,False,,,
CheckBoxMCompare,CheckBox,False,True,510000000001_Outputs|Means,True,Multiple comparisons,False,,,
CheckBoxCIMeans,CheckBox,False,True,510000000301_Outputs|Means,True,Confidence intervals,False,,,
CheckBoxSlopes,CheckBox,False,False,510000000401_Outputs|Means,False,Comparison of slopes,False,,,
CheckBoxPairwise,CheckBox,False,True,510000000002_Outputs|Means,True,Pairwise comparisons,False,,,
CheckBoxControl,CheckBox,False,True,510000000202_Outputs|Means,True,Comparisons with a control,False,,,
CheckBoxMeanSq,CheckBox,False,True,510000000402_Outputs|Means,True,Choose the MSE,False,,,
CheckBoxProtected,CheckBox,False,True,510000000502_Outputs|Means,True,Protected,False,,,
CheckBoxTB,CheckBox,False,True,510000000602_Outputs|Means,True,Top/Bottom boxes,False,,,
OptionButtonTB2,OptionButton,True,True,510000000702_Outputs|Means,True,2,False,,,
OptionButtonTB3,OptionButton,False,True,510000000802_Outputs|Means,True,3,False,,,
ListBoxControl,ListBox,,True,510000000302_Outputs|Means,True,Comparisons with a control:,False,,,
ListBoxPairwise,ListBox,,True,510000000102_Outputs|Means,True,Pairwise comparisons:,False,,,
CheckBoxMeanConfTab,CheckBox,True,True,510000000100_Outputs|Means,True,Confidence interval,False,,,
CheckBoxMeans,CheckBox,True,True,510000000000_Outputs|Means,True,Means,False,,,
CheckBoxMeanStdError,CheckBox,True,True,510000000200_Outputs|Means,True,Standard errors,False,,,
CheckBoxLSM,CheckBox,True,True,510000000300_Outputs|Means,True,LS means,False,,,
CheckBox_Desc,CheckBox,True,True,500000000000_Outputs|General,True,Descriptive statistics,False,,,
CheckBox_Corr,CheckBox,True,True,500000000100_Outputs|General,True,Correlations,False,,,
CheckBox_AV,CheckBox,True,True,500000000300_Outputs|General,True,Analysis of variance,False,,,
CheckBoxPress,CheckBox,False,True,500000000500_Outputs|General,True,Press,False,,,
CheckBox_TISS,CheckBox,False,True,500000000400_Outputs|General,True,Type I/III SS,False,,,
CheckBoxMultiCo,CheckBox,False,True,500000000200_Outputs|General,True,Multicolinearity statistics,False,,,
CheckBoxInterpret,CheckBox,False,True,500000000600_Outputs|General,True,Interpretation,False,,,
CheckBox_Resid,CheckBox,True,True,500000000101_Outputs|General,True,Predictions and residuals,False,,,
CheckBoxStdCoeff,CheckBox,True,True,500000000001_Outputs|General,True,Standardized coefficients,False,,,
CheckBoxDiag,CheckBox,False,True,500000000501_Outputs|General,True,Influence diagnostics,False,,,
CheckBoxAdjPred,CheckBox,False,True,500000000401_Outputs|General,True,Adjusted predictions,False,,,
CheckBoxWelch,CheckBox,False,False,500000000601_Outputs|General,False,Welch statistic,False,,,
CheckBoxDispX,CheckBox,False,True,500000000201_Outputs|General,True,X,False,,,
CheckBoxPredConf,CheckBox,True,True,500000000301_Outputs|General,True,Confidence intervals,False,,,
CheckBoxContrasts,CheckBox,False,True,520000000000_Outputs|Contrasts,True,Compute contrasts,False,,,
RefEditContrasts,RefEdit,,True,520000000200_Outputs|Contrasts,True,Definition:,False,,,
CheckBoxLevene,CheckBox,False,False,530000000000_Outputs|Test assumptions,False,Levene's test,False,,,
CheckBox_Intercept,CheckBox,False,True,100000000000_Options|Model,True,Fixed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CheckBox_Interactions,CheckBox,False,True,100000000200_Options|Model,True,Interactions / Level,False,,,
TextBoxLevel,TextBox,2,True,100000010200_Options|Model,True,,False,,,
ComboBox_Selection,ComboBox,0,True,100000000101_Options|Model,True,Choose a model selection method,False,,,
CheckBox_Selection,CheckBox,False,True,100000000001_Options|Model,True,Model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CheckBoxNested,CheckBox,False,True,110000000100_Options|ANOVA / ANCOVA,True,Nested effects,False,,,
CheckBoxHetero,CheckBox,False,True,120000000000_Options|Covariances,True,Heteroscedasticity,False,,,
ComboBoxHACMethod,ComboBox,0,True,120000010100_Options|Covariances,True,Method:,False,,,
CheckBoxAutoCorr,CheckBox,False,True,120000000200_Options|Covariances,True,Autocorrelation,False,,,
TextBoxLag,TextBox,1,True,120000010300_Options|Covariances,True,Lag: ,False,,,
CheckBox_Predict,CheckBox,False,True,300000000102_Prediction,True,Prediction,False,,,
RefEdit_QPred,RefEdit0,,True,300000000402_Prediction,True,Qualitative:,False,,,
RefEdit_XPred,RefEdit0,,True,300000000302_Prediction,True,Quantitative:,False,,,
CheckBox_ObsLabelsPred,CheckBox,False,True,300000000502_Prediction,True,Observation labels,False,,,
RefEdit_PredLabels,RefEdit0,,True,300000000602_Prediction,True,,False,,,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CheckBoxResidCharts,CheckBox,True,True,600000000200_Charts,True,Predictions and residuals,False,,,
CheckBoxRegCharts,CheckBox,True,True,600000000000_Charts,True,Regression charts,False,,,
CheckBoxChartsCoeff,CheckBox,True,True,600000000100_Charts,True,Standardized coefficients,False,,,
CheckBox_Conf,CheckBox,True,True,600000000300_Charts,True,Confidence intervals,False,,,
OptionButtonCol,OptionButton,True,True,000000010000_General,True,Column,False,,,
OptionButtonTab,OptionButton,False,True,000000020000_General,True,Table,False,,,
RefEditDataTable,RefEdit0,,True,000000010100_General,True,Data table:,False,,,
TextBoxNbFactors,TextBox,1,True,000001030100_General,True,Number of factors:,False,,,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RefEdit_Wr,RefEdit0,,True,000000060301_General,True,Regression weights:,False,,,
CheckBox_Wr,CheckBox,False,True,000000050301_General,True,Regression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FileSelect2,CommandButton,,False,300000000702_Prediction,False,,False,,,
CheckBoxNorm,CheckBox,False,True,530000000100_Outputs|Test assumptions,True,Normality test,False,,,
OptionButtonMean,OptionButton,True,True,530000000200_Outputs|Test assumptions,True,Mean,False,,,
OptionButtonMedian,OptionButton,False,True,530000010200_Outputs|Test assumptions,True,Median,False,,,
RefEdit_Y,RefEdit0,'Sheet1'!$T$1:$T$157,True,000000010200_General,True,Y / Dependent variables:,False,,157,1
FileSelect1,CommandButton,,False,000000020200_General,False,,False,,,
ScrollBarSelect,ScrollBar,0,False,05,False,,,,,
CheckBox_X,CheckBox,True,True,000000050200_General,True,Quantitative,False,,,
RefEdit_X,RefEdit0,'Sheet1'!$O$1:$O$157&lt;CM&gt;'Sheet1'!$Q$1:$Q$157&lt;CM&gt;'Sheet1'!$S$1:$S$157&lt;CM&gt;'Sheet1'!$U$1:$U$157&lt;CM&gt;'Sheet1'!$W$1:$W$157&lt;CM&gt;'Sheet1'!$Y$1:$Y$157,True,000002050200_General,True,X / Explanatory variables:,False,,157,6
CheckBox_Q,CheckBox,False,True,000003050200_General,True,Qualitative,False,,,
RefEdit_Q,RefEdit0,,True,000004050200_General,True,Qualitative:,False,,,
CheckBoxMeansCharts,CheckBox,True,True,600000000400_Charts,True,Means charts,False,,,
CheckBoxMeanConf,CheckBox,False,True,600000010400_Charts,True,Confidence intervals,False,,,
CheckBoxBar,CheckBox,False,True,600000030400_Charts,True,Bar chart,False,,,
CheckBox_PredVarLabels,CheckBox,False,True,300000001002_Prediction,True,Variable labels,False,,,
ScrollBarLevel,SpinButton,2,True,100000020200_Options|Model,False,,,,,
CheckBoxRand,CheckBox,False,True,110000000200_Options|ANOVA / ANCOVA,True,Random effects,False,,,
CheckBoxRestricted,CheckBox,False,True,110000010200_Options|ANOVA / ANCOVA,True,Restricted ANOVA,False,,,
CheckBoxProp,CheckBox,False,True,600000020400_Charts,True,Proportional,False,,,
CheckBoxSummary,CheckBox,True,True,510000000902_Outputs|Means,True,Summary,False,,,
CheckBoxSumCharts,CheckBox,True,True,600000000101_Charts,True,Summary charts,False,,,
CheckBoxFilterY,CheckBox,False,True,600000000001_Charts,True,Filter Ys,False,,,
CheckBoxDemsar,CheckBox,False,False,600000040400_Charts,False,Demsar plots,False,,,
CheckBoxContBonf,CheckBox,True,True,520000000300_Outputs|Contrasts,True,Bonferroni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41193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4" name="BT411938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5" name="RM4119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AD411938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7" name="WD411938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8" name="PT41193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89</xdr:row>
      <xdr:rowOff>0</xdr:rowOff>
    </xdr:from>
    <xdr:to>
      <xdr:col>6</xdr:col>
      <xdr:colOff>0</xdr:colOff>
      <xdr:row>109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292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292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272</xdr:row>
      <xdr:rowOff>0</xdr:rowOff>
    </xdr:from>
    <xdr:to>
      <xdr:col>16</xdr:col>
      <xdr:colOff>254000</xdr:colOff>
      <xdr:row>292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41" name="DD215278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450196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CheckBoxTrans,CheckBox,False,False,04,False,Trans,False,,,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CheckBoxSort,CheckBox,False,True,510000000201_Outputs|Means,True,Sort up,False,,,
CheckBoxApplyAll,CheckBox,False,True,510000000101_Outputs|Means,True,Apply to all factors,False,,,
CheckBoxMCompare,CheckBox,False,True,510000000001_Outputs|Means,True,Multiple comparisons,False,,,
CheckBoxCIMeans,CheckBox,False,True,510000000301_Outputs|Means,True,Confidence intervals,False,,,
CheckBoxSlopes,CheckBox,False,False,510000000401_Outputs|Means,False,Comparison of slopes,False,,,
CheckBoxPairwise,CheckBox,False,True,510000000002_Outputs|Means,True,Pairwise comparisons,False,,,
CheckBoxControl,CheckBox,False,True,510000000202_Outputs|Means,True,Comparisons with a control,False,,,
CheckBoxMeanSq,CheckBox,False,True,510000000402_Outputs|Means,True,Choose the MSE,False,,,
CheckBoxProtected,CheckBox,False,True,510000000502_Outputs|Means,True,Protected,False,,,
CheckBoxTB,CheckBox,False,True,510000000602_Outputs|Means,True,Top/Bottom boxes,False,,,
OptionButtonTB2,OptionButton,True,True,510000000702_Outputs|Means,True,2,False,,,
OptionButtonTB3,OptionButton,False,True,510000000802_Outputs|Means,True,3,False,,,
ListBoxControl,ListBox,,True,510000000302_Outputs|Means,True,Comparisons with a control:,False,,,
ListBoxPairwise,ListBox,,True,510000000102_Outputs|Means,True,Pairwise comparisons:,False,,,
CheckBoxMeanConfTab,CheckBox,True,True,510000000100_Outputs|Means,True,Confidence interval,False,,,
CheckBoxMeans,CheckBox,True,True,510000000000_Outputs|Means,True,Means,False,,,
CheckBoxMeanStdError,CheckBox,True,True,510000000200_Outputs|Means,True,Standard errors,False,,,
CheckBoxLSM,CheckBox,True,True,510000000300_Outputs|Means,True,LS means,False,,,
CheckBox_Desc,CheckBox,True,True,500000000000_Outputs|General,True,Descriptive statistics,False,,,
CheckBox_Corr,CheckBox,True,True,500000000100_Outputs|General,True,Correlations,False,,,
CheckBox_AV,CheckBox,True,True,500000000300_Outputs|General,True,Analysis of variance,False,,,
CheckBoxPress,CheckBox,False,True,500000000500_Outputs|General,True,Press,False,,,
CheckBox_TISS,CheckBox,False,True,500000000400_Outputs|General,True,Type I/III SS,False,,,
CheckBoxMultiCo,CheckBox,False,True,500000000200_Outputs|General,True,Multicolinearity statistics,False,,,
CheckBoxInterpret,CheckBox,False,True,500000000600_Outputs|General,True,Interpretation,False,,,
CheckBox_Resid,CheckBox,True,True,500000000101_Outputs|General,True,Predictions and residuals,False,,,
CheckBoxStdCoeff,CheckBox,True,True,500000000001_Outputs|General,True,Standardized coefficients,False,,,
CheckBoxDiag,CheckBox,False,True,500000000501_Outputs|General,True,Influence diagnostics,False,,,
CheckBoxAdjPred,CheckBox,False,True,500000000401_Outputs|General,True,Adjusted predictions,False,,,
CheckBoxWelch,CheckBox,False,False,500000000601_Outputs|General,False,Welch statistic,False,,,
CheckBoxDispX,CheckBox,False,True,500000000201_Outputs|General,True,X,False,,,
CheckBoxPredConf,CheckBox,True,True,500000000301_Outputs|General,True,Confidence intervals,False,,,
CheckBoxContrasts,CheckBox,False,True,520000000000_Outputs|Contrasts,True,Compute contrasts,False,,,
RefEditContrasts,RefEdit,,True,520000000200_Outputs|Contrasts,True,Definition:,False,,,
CheckBoxLevene,CheckBox,False,False,530000000000_Outputs|Test assumptions,False,Levene's test,False,,,
CheckBox_Intercept,CheckBox,False,True,100000000000_Options|Model,True,Fixed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CheckBox_Interactions,CheckBox,False,True,100000000200_Options|Model,True,Interactions / Level,False,,,
TextBoxLevel,TextBox,2,True,100000010200_Options|Model,True,,False,,,
ComboBox_Selection,ComboBox,0,True,100000000101_Options|Model,True,Choose a model selection method,False,,,
CheckBox_Selection,CheckBox,False,True,100000000001_Options|Model,True,Model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CheckBoxNested,CheckBox,False,True,110000000100_Options|ANOVA / ANCOVA,True,Nested effects,False,,,
CheckBoxHetero,CheckBox,False,True,120000000000_Options|Covariances,True,Heteroscedasticity,False,,,
ComboBoxHACMethod,ComboBox,0,True,120000010100_Options|Covariances,True,Method:,False,,,
CheckBoxAutoCorr,CheckBox,False,True,120000000200_Options|Covariances,True,Autocorrelation,False,,,
TextBoxLag,TextBox,1,True,120000010300_Options|Covariances,True,Lag: ,False,,,
CheckBox_Predict,CheckBox,False,True,300000000102_Prediction,True,Prediction,False,,,
RefEdit_QPred,RefEdit0,,True,300000000402_Prediction,True,Qualitative:,False,,,
RefEdit_XPred,RefEdit0,,True,300000000302_Prediction,True,Quantitative:,False,,,
CheckBox_ObsLabelsPred,CheckBox,False,True,300000000502_Prediction,True,Observation labels,False,,,
RefEdit_PredLabels,RefEdit0,,True,300000000602_Prediction,True,,False,,,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CheckBoxResidCharts,CheckBox,True,True,600000000200_Charts,True,Predictions and residuals,False,,,
CheckBoxRegCharts,CheckBox,True,True,600000000000_Charts,True,Regression charts,False,,,
CheckBoxChartsCoeff,CheckBox,True,True,600000000100_Charts,True,Standardized coefficients,False,,,
CheckBox_Conf,CheckBox,True,True,600000000300_Charts,True,Confidence intervals,False,,,
OptionButtonCol,OptionButton,True,True,000000010000_General,True,Column,False,,,
OptionButtonTab,OptionButton,False,True,000000020000_General,True,Table,False,,,
RefEditDataTable,RefEdit0,,True,000000010100_General,True,Data table:,False,,,
TextBoxNbFactors,TextBox,1,True,000001030100_General,True,Number of factors:,False,,,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RefEdit_Wr,RefEdit0,,True,000000060301_General,True,Regression weights:,False,,,
CheckBox_Wr,CheckBox,False,True,000000050301_General,True,Regression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FileSelect2,CommandButton,,False,300000000702_Prediction,False,,False,,,
CheckBoxNorm,CheckBox,False,True,530000000100_Outputs|Test assumptions,True,Normality test,False,,,
OptionButtonMean,OptionButton,True,True,530000000200_Outputs|Test assumptions,True,Mean,False,,,
OptionButtonMedian,OptionButton,False,True,530000010200_Outputs|Test assumptions,True,Median,False,,,
RefEdit_Y,RefEdit0,'Sheet1'!$R$1:$R$157,True,000000010200_General,True,Y / Dependent variables:,False,,157,1
FileSelect1,CommandButton,,False,000000020200_General,False,,False,,,
ScrollBarSelect,ScrollBar,0,False,05,False,,,,,
CheckBox_X,CheckBox,True,True,000000050200_General,True,Quantitative,False,,,
RefEdit_X,RefEdit0,'Sheet1'!$O$1:$O$157&lt;CM&gt;'Sheet1'!$Q$1:$Q$157&lt;CM&gt;'Sheet1'!$S$1:$S$157&lt;CM&gt;'Sheet1'!$U$1:$U$157&lt;CM&gt;'Sheet1'!$W$1:$W$157&lt;CM&gt;'Sheet1'!$Y$1:$Y$157,True,000002050200_General,True,X / Explanatory variables:,False,,157,6
CheckBox_Q,CheckBox,False,True,000003050200_General,True,Qualitative,False,,,
RefEdit_Q,RefEdit0,,True,000004050200_General,True,Qualitative:,False,,,
CheckBoxMeansCharts,CheckBox,True,True,600000000400_Charts,True,Means charts,False,,,
CheckBoxMeanConf,CheckBox,False,True,600000010400_Charts,True,Confidence intervals,False,,,
CheckBoxBar,CheckBox,False,True,600000030400_Charts,True,Bar chart,False,,,
CheckBox_PredVarLabels,CheckBox,False,True,300000001002_Prediction,True,Variable labels,False,,,
ScrollBarLevel,SpinButton,2,True,100000020200_Options|Model,False,,,,,
CheckBoxRand,CheckBox,False,True,110000000200_Options|ANOVA / ANCOVA,True,Random effects,False,,,
CheckBoxRestricted,CheckBox,False,True,110000010200_Options|ANOVA / ANCOVA,True,Restricted ANOVA,False,,,
CheckBoxProp,CheckBox,False,True,600000020400_Charts,True,Proportional,False,,,
CheckBoxSummary,CheckBox,True,True,510000000902_Outputs|Means,True,Summary,False,,,
CheckBoxSumCharts,CheckBox,True,True,600000000101_Charts,True,Summary charts,False,,,
CheckBoxFilterY,CheckBox,False,True,600000000001_Charts,True,Filter Ys,False,,,
CheckBoxDemsar,CheckBox,False,False,600000040400_Charts,False,Demsar plots,False,,,
CheckBoxContBonf,CheckBox,True,True,520000000300_Outputs|Contrasts,True,Bonferroni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450196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4" name="BT45019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5" name="RM450196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AD450196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7" name="WD45019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8" name="PT450196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89</xdr:row>
      <xdr:rowOff>0</xdr:rowOff>
    </xdr:from>
    <xdr:to>
      <xdr:col>6</xdr:col>
      <xdr:colOff>0</xdr:colOff>
      <xdr:row>109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292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292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272</xdr:row>
      <xdr:rowOff>0</xdr:rowOff>
    </xdr:from>
    <xdr:to>
      <xdr:col>16</xdr:col>
      <xdr:colOff>254000</xdr:colOff>
      <xdr:row>292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8193" name="DD21061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94919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CheckBoxTrans,CheckBox,False,False,04,False,Trans,False,,,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CheckBoxSort,CheckBox,False,True,510000000201_Outputs|Means,True,Sort up,False,,,
CheckBoxApplyAll,CheckBox,False,True,510000000101_Outputs|Means,True,Apply to all factors,False,,,
CheckBoxMCompare,CheckBox,False,True,510000000001_Outputs|Means,True,Multiple comparisons,False,,,
CheckBoxCIMeans,CheckBox,False,True,510000000301_Outputs|Means,True,Confidence intervals,False,,,
CheckBoxSlopes,CheckBox,False,False,510000000401_Outputs|Means,False,Comparison of slopes,False,,,
CheckBoxPairwise,CheckBox,False,True,510000000002_Outputs|Means,True,Pairwise comparisons,False,,,
CheckBoxControl,CheckBox,False,True,510000000202_Outputs|Means,True,Comparisons with a control,False,,,
CheckBoxMeanSq,CheckBox,False,True,510000000402_Outputs|Means,True,Choose the MSE,False,,,
CheckBoxProtected,CheckBox,False,True,510000000502_Outputs|Means,True,Protected,False,,,
CheckBoxTB,CheckBox,False,True,510000000602_Outputs|Means,True,Top/Bottom boxes,False,,,
OptionButtonTB2,OptionButton,True,True,510000000702_Outputs|Means,True,2,False,,,
OptionButtonTB3,OptionButton,False,True,510000000802_Outputs|Means,True,3,False,,,
ListBoxControl,ListBox,,True,510000000302_Outputs|Means,True,Comparisons with a control:,False,,,
ListBoxPairwise,ListBox,,True,510000000102_Outputs|Means,True,Pairwise comparisons:,False,,,
CheckBoxMeanConfTab,CheckBox,True,True,510000000100_Outputs|Means,True,Confidence interval,False,,,
CheckBoxMeans,CheckBox,True,True,510000000000_Outputs|Means,True,Means,False,,,
CheckBoxMeanStdError,CheckBox,True,True,510000000200_Outputs|Means,True,Standard errors,False,,,
CheckBoxLSM,CheckBox,True,True,510000000300_Outputs|Means,True,LS means,False,,,
CheckBox_Desc,CheckBox,True,True,500000000000_Outputs|General,True,Descriptive statistics,False,,,
CheckBox_Corr,CheckBox,True,True,500000000100_Outputs|General,True,Correlations,False,,,
CheckBox_AV,CheckBox,True,True,500000000300_Outputs|General,True,Analysis of variance,False,,,
CheckBoxPress,CheckBox,False,True,500000000500_Outputs|General,True,Press,False,,,
CheckBox_TISS,CheckBox,False,True,500000000400_Outputs|General,True,Type I/III SS,False,,,
CheckBoxMultiCo,CheckBox,False,True,500000000200_Outputs|General,True,Multicolinearity statistics,False,,,
CheckBoxInterpret,CheckBox,False,True,500000000600_Outputs|General,True,Interpretation,False,,,
CheckBox_Resid,CheckBox,True,True,500000000101_Outputs|General,True,Predictions and residuals,False,,,
CheckBoxStdCoeff,CheckBox,True,True,500000000001_Outputs|General,True,Standardized coefficients,False,,,
CheckBoxDiag,CheckBox,False,True,500000000501_Outputs|General,True,Influence diagnostics,False,,,
CheckBoxAdjPred,CheckBox,False,True,500000000401_Outputs|General,True,Adjusted predictions,False,,,
CheckBoxWelch,CheckBox,False,False,500000000601_Outputs|General,False,Welch statistic,False,,,
CheckBoxDispX,CheckBox,False,True,500000000201_Outputs|General,True,X,False,,,
CheckBoxPredConf,CheckBox,True,True,500000000301_Outputs|General,True,Confidence intervals,False,,,
CheckBoxContrasts,CheckBox,False,True,520000000000_Outputs|Contrasts,True,Compute contrasts,False,,,
RefEditContrasts,RefEdit,,True,520000000200_Outputs|Contrasts,True,Definition:,False,,,
CheckBoxLevene,CheckBox,False,False,530000000000_Outputs|Test assumptions,False,Levene's test,False,,,
CheckBox_Intercept,CheckBox,False,True,100000000000_Options|Model,True,Fixed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CheckBox_Interactions,CheckBox,False,True,100000000200_Options|Model,True,Interactions / Level,False,,,
TextBoxLevel,TextBox,2,True,100000010200_Options|Model,True,,False,,,
ComboBox_Selection,ComboBox,0,True,100000000101_Options|Model,True,Choose a model selection method,False,,,
CheckBox_Selection,CheckBox,False,True,100000000001_Options|Model,True,Model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CheckBoxNested,CheckBox,False,True,110000000100_Options|ANOVA / ANCOVA,True,Nested effects,False,,,
CheckBoxHetero,CheckBox,False,True,120000000000_Options|Covariances,True,Heteroscedasticity,False,,,
ComboBoxHACMethod,ComboBox,0,True,120000010100_Options|Covariances,True,Method:,False,,,
CheckBoxAutoCorr,CheckBox,False,True,120000000200_Options|Covariances,True,Autocorrelation,False,,,
TextBoxLag,TextBox,1,True,120000010300_Options|Covariances,True,Lag: ,False,,,
CheckBox_Predict,CheckBox,False,True,300000000102_Prediction,True,Prediction,False,,,
RefEdit_QPred,RefEdit0,,True,300000000402_Prediction,True,Qualitative:,False,,,
RefEdit_XPred,RefEdit0,,True,300000000302_Prediction,True,Quantitative:,False,,,
CheckBox_ObsLabelsPred,CheckBox,False,True,300000000502_Prediction,True,Observation labels,False,,,
RefEdit_PredLabels,RefEdit0,,True,300000000602_Prediction,True,,False,,,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CheckBoxResidCharts,CheckBox,True,True,600000000200_Charts,True,Predictions and residuals,False,,,
CheckBoxRegCharts,CheckBox,True,True,600000000000_Charts,True,Regression charts,False,,,
CheckBoxChartsCoeff,CheckBox,True,True,600000000100_Charts,True,Standardized coefficients,False,,,
CheckBox_Conf,CheckBox,True,True,600000000300_Charts,True,Confidence intervals,False,,,
OptionButtonCol,OptionButton,True,True,000000010000_General,True,Column,False,,,
OptionButtonTab,OptionButton,False,True,000000020000_General,True,Table,False,,,
RefEditDataTable,RefEdit0,,True,000000010100_General,True,Data table:,False,,,
TextBoxNbFactors,TextBox,1,True,000001030100_General,True,Number of factors:,False,,,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RefEdit_Wr,RefEdit0,,True,000000060301_General,True,Regression weights:,False,,,
CheckBox_Wr,CheckBox,False,True,000000050301_General,True,Regression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FileSelect2,CommandButton,,False,300000000702_Prediction,False,,False,,,
CheckBoxNorm,CheckBox,False,True,530000000100_Outputs|Test assumptions,True,Normality test,False,,,
OptionButtonMean,OptionButton,True,True,530000000200_Outputs|Test assumptions,True,Mean,False,,,
OptionButtonMedian,OptionButton,False,True,530000010200_Outputs|Test assumptions,True,Median,False,,,
RefEdit_Y,RefEdit0,'Sheet1'!$P$1:$P$157,True,000000010200_General,True,Y / Dependent variables:,False,,157,1
FileSelect1,CommandButton,,False,000000020200_General,False,,False,,,
ScrollBarSelect,ScrollBar,0,False,05,False,,,,,
CheckBox_X,CheckBox,True,True,000000050200_General,True,Quantitative,False,,,
RefEdit_X,RefEdit0,'Sheet1'!$O$1:$O$157&lt;CM&gt;'Sheet1'!$Q$1:$Q$157&lt;CM&gt;'Sheet1'!$S$1:$S$157&lt;CM&gt;'Sheet1'!$U$1:$U$157&lt;CM&gt;'Sheet1'!$W$1:$W$157&lt;CM&gt;'Sheet1'!$Y$1:$Y$157,True,000002050200_General,True,X / Explanatory variables:,False,,157,6
CheckBox_Q,CheckBox,False,True,000003050200_General,True,Qualitative,False,,,
RefEdit_Q,RefEdit0,,True,000004050200_General,True,Qualitative:,False,,,
CheckBoxMeansCharts,CheckBox,True,True,600000000400_Charts,True,Means charts,False,,,
CheckBoxMeanConf,CheckBox,False,True,600000010400_Charts,True,Confidence intervals,False,,,
CheckBoxBar,CheckBox,False,True,600000030400_Charts,True,Bar chart,False,,,
CheckBox_PredVarLabels,CheckBox,False,True,300000001002_Prediction,True,Variable labels,False,,,
ScrollBarLevel,SpinButton,2,True,100000020200_Options|Model,False,,,,,
CheckBoxRand,CheckBox,False,True,110000000200_Options|ANOVA / ANCOVA,True,Random effects,False,,,
CheckBoxRestricted,CheckBox,False,True,110000010200_Options|ANOVA / ANCOVA,True,Restricted ANOVA,False,,,
CheckBoxProp,CheckBox,False,True,600000020400_Charts,True,Proportional,False,,,
CheckBoxSummary,CheckBox,True,True,510000000902_Outputs|Means,True,Summary,False,,,
CheckBoxSumCharts,CheckBox,True,True,600000000101_Charts,True,Summary charts,False,,,
CheckBoxFilterY,CheckBox,False,True,600000000001_Charts,True,Filter Ys,False,,,
CheckBoxDemsar,CheckBox,False,False,600000040400_Charts,False,Demsar plots,False,,,
CheckBoxContBonf,CheckBox,True,True,520000000300_Outputs|Contrasts,True,Bonferroni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594919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4" name="BT594919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5" name="RM594919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AD594919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7" name="WD594919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8" name="PT594919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89</xdr:row>
      <xdr:rowOff>0</xdr:rowOff>
    </xdr:from>
    <xdr:to>
      <xdr:col>6</xdr:col>
      <xdr:colOff>0</xdr:colOff>
      <xdr:row>109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292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292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272</xdr:row>
      <xdr:rowOff>0</xdr:rowOff>
    </xdr:from>
    <xdr:to>
      <xdr:col>16</xdr:col>
      <xdr:colOff>254000</xdr:colOff>
      <xdr:row>292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145" name="DD46858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730719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CheckBoxTrans,CheckBox,False,False,04,False,Trans,False,,,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CheckBoxSort,CheckBox,False,True,510000000201_Outputs|Means,True,Sort up,False,,,
CheckBoxApplyAll,CheckBox,False,True,510000000101_Outputs|Means,True,Apply to all factors,False,,,
CheckBoxMCompare,CheckBox,False,True,510000000001_Outputs|Means,True,Multiple comparisons,False,,,
CheckBoxCIMeans,CheckBox,False,True,510000000301_Outputs|Means,True,Confidence intervals,False,,,
CheckBoxSlopes,CheckBox,False,False,510000000401_Outputs|Means,False,Comparison of slopes,False,,,
CheckBoxPairwise,CheckBox,False,True,510000000002_Outputs|Means,True,Pairwise comparisons,False,,,
CheckBoxControl,CheckBox,False,True,510000000202_Outputs|Means,True,Comparisons with a control,False,,,
CheckBoxMeanSq,CheckBox,False,True,510000000402_Outputs|Means,True,Choose the MSE,False,,,
CheckBoxProtected,CheckBox,False,True,510000000502_Outputs|Means,True,Protected,False,,,
CheckBoxTB,CheckBox,False,True,510000000602_Outputs|Means,True,Top/Bottom boxes,False,,,
OptionButtonTB2,OptionButton,True,True,510000000702_Outputs|Means,True,2,False,,,
OptionButtonTB3,OptionButton,False,True,510000000802_Outputs|Means,True,3,False,,,
ListBoxControl,ListBox,,True,510000000302_Outputs|Means,True,Comparisons with a control:,False,,,
ListBoxPairwise,ListBox,,True,510000000102_Outputs|Means,True,Pairwise comparisons:,False,,,
CheckBoxMeanConfTab,CheckBox,True,True,510000000100_Outputs|Means,True,Confidence interval,False,,,
CheckBoxMeans,CheckBox,True,True,510000000000_Outputs|Means,True,Means,False,,,
CheckBoxMeanStdError,CheckBox,True,True,510000000200_Outputs|Means,True,Standard errors,False,,,
CheckBoxLSM,CheckBox,True,True,510000000300_Outputs|Means,True,LS means,False,,,
CheckBox_Desc,CheckBox,True,True,500000000000_Outputs|General,True,Descriptive statistics,False,,,
CheckBox_Corr,CheckBox,True,True,500000000100_Outputs|General,True,Correlations,False,,,
CheckBox_AV,CheckBox,True,True,500000000300_Outputs|General,True,Analysis of variance,False,,,
CheckBoxPress,CheckBox,False,True,500000000500_Outputs|General,True,Press,False,,,
CheckBox_TISS,CheckBox,False,True,500000000400_Outputs|General,True,Type I/III SS,False,,,
CheckBoxMultiCo,CheckBox,False,True,500000000200_Outputs|General,True,Multicolinearity statistics,False,,,
CheckBoxInterpret,CheckBox,False,True,500000000600_Outputs|General,True,Interpretation,False,,,
CheckBox_Resid,CheckBox,True,True,500000000101_Outputs|General,True,Predictions and residuals,False,,,
CheckBoxStdCoeff,CheckBox,True,True,500000000001_Outputs|General,True,Standardized coefficients,False,,,
CheckBoxDiag,CheckBox,False,True,500000000501_Outputs|General,True,Influence diagnostics,False,,,
CheckBoxAdjPred,CheckBox,False,True,500000000401_Outputs|General,True,Adjusted predictions,False,,,
CheckBoxWelch,CheckBox,False,False,500000000601_Outputs|General,False,Welch statistic,False,,,
CheckBoxDispX,CheckBox,False,True,500000000201_Outputs|General,True,X,False,,,
CheckBoxPredConf,CheckBox,True,True,500000000301_Outputs|General,True,Confidence intervals,False,,,
CheckBoxContrasts,CheckBox,False,True,520000000000_Outputs|Contrasts,True,Compute contrasts,False,,,
RefEditContrasts,RefEdit,,True,520000000200_Outputs|Contrasts,True,Definition:,False,,,
CheckBoxLevene,CheckBox,False,False,530000000000_Outputs|Test assumptions,False,Levene's test,False,,,
CheckBox_Intercept,CheckBox,False,True,100000000000_Options|Model,True,Fixed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CheckBox_Interactions,CheckBox,False,True,100000000200_Options|Model,True,Interactions / Level,False,,,
TextBoxLevel,TextBox,2,True,100000010200_Options|Model,True,,False,,,
ComboBox_Selection,ComboBox,0,True,100000000101_Options|Model,True,Choose a model selection method,False,,,
CheckBox_Selection,CheckBox,False,True,100000000001_Options|Model,True,Model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CheckBoxNested,CheckBox,False,True,110000000100_Options|ANOVA / ANCOVA,True,Nested effects,False,,,
CheckBoxHetero,CheckBox,False,True,120000000000_Options|Covariances,True,Heteroscedasticity,False,,,
ComboBoxHACMethod,ComboBox,0,True,120000010100_Options|Covariances,True,Method:,False,,,
CheckBoxAutoCorr,CheckBox,False,True,120000000200_Options|Covariances,True,Autocorrelation,False,,,
TextBoxLag,TextBox,1,True,120000010300_Options|Covariances,True,Lag: ,False,,,
CheckBox_Predict,CheckBox,False,True,300000000102_Prediction,True,Prediction,False,,,
RefEdit_QPred,RefEdit0,,True,300000000402_Prediction,True,Qualitative:,False,,,
RefEdit_XPred,RefEdit0,,True,300000000302_Prediction,True,Quantitative:,False,,,
CheckBox_ObsLabelsPred,CheckBox,False,True,300000000502_Prediction,True,Observation labels,False,,,
RefEdit_PredLabels,RefEdit0,,True,300000000602_Prediction,True,,False,,,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CheckBoxResidCharts,CheckBox,True,True,600000000200_Charts,True,Predictions and residuals,False,,,
CheckBoxRegCharts,CheckBox,True,True,600000000000_Charts,True,Regression charts,False,,,
CheckBoxChartsCoeff,CheckBox,True,True,600000000100_Charts,True,Standardized coefficients,False,,,
CheckBox_Conf,CheckBox,True,True,600000000300_Charts,True,Confidence intervals,False,,,
OptionButtonCol,OptionButton,True,True,000000010000_General,True,Column,False,,,
OptionButtonTab,OptionButton,False,True,000000020000_General,True,Table,False,,,
RefEditDataTable,RefEdit0,,True,000000010100_General,True,Data table:,False,,,
TextBoxNbFactors,TextBox,1,True,000001030100_General,True,Number of factors:,False,,,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RefEdit_Wr,RefEdit0,,True,000000060301_General,True,Regression weights:,False,,,
CheckBox_Wr,CheckBox,False,True,000000050301_General,True,Regression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FileSelect2,CommandButton,,False,300000000702_Prediction,False,,False,,,
CheckBoxNorm,CheckBox,False,True,530000000100_Outputs|Test assumptions,True,Normality test,False,,,
OptionButtonMean,OptionButton,True,True,530000000200_Outputs|Test assumptions,True,Mean,False,,,
OptionButtonMedian,OptionButton,False,True,530000010200_Outputs|Test assumptions,True,Median,False,,,
RefEdit_Y,RefEdit0,'Sheet1'!$N$1:$N$157,True,000000010200_General,True,Y / Dependent variables:,False,,157,1
FileSelect1,CommandButton,,False,000000020200_General,False,,False,,,
ScrollBarSelect,ScrollBar,0,False,05,False,,,,,
CheckBox_X,CheckBox,True,True,000000050200_General,True,Quantitative,False,,,
RefEdit_X,RefEdit0,'Sheet1'!$O$1:$O$157&lt;CM&gt;'Sheet1'!$Q$1:$Q$157&lt;CM&gt;'Sheet1'!$S$1:$S$157&lt;CM&gt;'Sheet1'!$U$1:$U$157&lt;CM&gt;'Sheet1'!$W$1:$W$157&lt;CM&gt;'Sheet1'!$Y$1:$Y$157,True,000002050200_General,True,X / Explanatory variables:,False,,157,6
CheckBox_Q,CheckBox,False,True,000003050200_General,True,Qualitative,False,,,
RefEdit_Q,RefEdit0,,True,000004050200_General,True,Qualitative:,False,,,
CheckBoxMeansCharts,CheckBox,True,True,600000000400_Charts,True,Means charts,False,,,
CheckBoxMeanConf,CheckBox,False,True,600000010400_Charts,True,Confidence intervals,False,,,
CheckBoxBar,CheckBox,False,True,600000030400_Charts,True,Bar chart,False,,,
CheckBox_PredVarLabels,CheckBox,False,True,300000001002_Prediction,True,Variable labels,False,,,
ScrollBarLevel,SpinButton,2,True,100000020200_Options|Model,False,,,,,
CheckBoxRand,CheckBox,False,True,110000000200_Options|ANOVA / ANCOVA,True,Random effects,False,,,
CheckBoxRestricted,CheckBox,False,True,110000010200_Options|ANOVA / ANCOVA,True,Restricted ANOVA,False,,,
CheckBoxProp,CheckBox,False,True,600000020400_Charts,True,Proportional,False,,,
CheckBoxSummary,CheckBox,True,True,510000000902_Outputs|Means,True,Summary,False,,,
CheckBoxSumCharts,CheckBox,True,True,600000000101_Charts,True,Summary charts,False,,,
CheckBoxFilterY,CheckBox,False,True,600000000001_Charts,True,Filter Ys,False,,,
CheckBoxDemsar,CheckBox,False,False,600000040400_Charts,False,Demsar plots,False,,,
CheckBoxContBonf,CheckBox,True,True,520000000300_Outputs|Contrasts,True,Bonferroni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730719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4" name="BT730719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5" name="RM730719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AD730719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7" name="WD730719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8" name="PT730719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89</xdr:row>
      <xdr:rowOff>0</xdr:rowOff>
    </xdr:from>
    <xdr:to>
      <xdr:col>6</xdr:col>
      <xdr:colOff>0</xdr:colOff>
      <xdr:row>109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292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292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272</xdr:row>
      <xdr:rowOff>0</xdr:rowOff>
    </xdr:from>
    <xdr:to>
      <xdr:col>16</xdr:col>
      <xdr:colOff>254000</xdr:colOff>
      <xdr:row>292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4097" name="DD679100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16</xdr:row>
      <xdr:rowOff>120650</xdr:rowOff>
    </xdr:from>
    <xdr:to>
      <xdr:col>14</xdr:col>
      <xdr:colOff>139700</xdr:colOff>
      <xdr:row>42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457200</xdr:colOff>
      <xdr:row>23</xdr:row>
      <xdr:rowOff>88900</xdr:rowOff>
    </xdr:from>
    <xdr:to>
      <xdr:col>10</xdr:col>
      <xdr:colOff>355600</xdr:colOff>
      <xdr:row>25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264400" y="3937000"/>
          <a:ext cx="8382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Fresch</a:t>
          </a:r>
        </a:p>
      </xdr:txBody>
    </xdr:sp>
    <xdr:clientData/>
  </xdr:twoCellAnchor>
  <xdr:twoCellAnchor>
    <xdr:from>
      <xdr:col>9</xdr:col>
      <xdr:colOff>508000</xdr:colOff>
      <xdr:row>31</xdr:row>
      <xdr:rowOff>101600</xdr:rowOff>
    </xdr:from>
    <xdr:to>
      <xdr:col>10</xdr:col>
      <xdr:colOff>406400</xdr:colOff>
      <xdr:row>33</xdr:row>
      <xdr:rowOff>12700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7315200" y="5270500"/>
          <a:ext cx="8382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JO</a:t>
          </a:r>
        </a:p>
      </xdr:txBody>
    </xdr:sp>
    <xdr:clientData/>
  </xdr:twoCellAnchor>
  <xdr:twoCellAnchor>
    <xdr:from>
      <xdr:col>11</xdr:col>
      <xdr:colOff>584200</xdr:colOff>
      <xdr:row>33</xdr:row>
      <xdr:rowOff>38100</xdr:rowOff>
    </xdr:from>
    <xdr:to>
      <xdr:col>13</xdr:col>
      <xdr:colOff>76200</xdr:colOff>
      <xdr:row>34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9004300" y="5537200"/>
          <a:ext cx="8382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DiGiorno</a:t>
          </a:r>
        </a:p>
      </xdr:txBody>
    </xdr:sp>
    <xdr:clientData/>
  </xdr:twoCellAnchor>
  <xdr:twoCellAnchor>
    <xdr:from>
      <xdr:col>9</xdr:col>
      <xdr:colOff>469900</xdr:colOff>
      <xdr:row>35</xdr:row>
      <xdr:rowOff>152400</xdr:rowOff>
    </xdr:from>
    <xdr:to>
      <xdr:col>10</xdr:col>
      <xdr:colOff>368300</xdr:colOff>
      <xdr:row>37</xdr:row>
      <xdr:rowOff>63500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7277100" y="5981700"/>
          <a:ext cx="8382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Tomb</a:t>
          </a:r>
        </a:p>
      </xdr:txBody>
    </xdr:sp>
    <xdr:clientData/>
  </xdr:twoCellAnchor>
  <xdr:twoCellAnchor>
    <xdr:from>
      <xdr:col>8</xdr:col>
      <xdr:colOff>419100</xdr:colOff>
      <xdr:row>27</xdr:row>
      <xdr:rowOff>152400</xdr:rowOff>
    </xdr:from>
    <xdr:to>
      <xdr:col>9</xdr:col>
      <xdr:colOff>342900</xdr:colOff>
      <xdr:row>29</xdr:row>
      <xdr:rowOff>63500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6311900" y="4660900"/>
          <a:ext cx="8382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RB</a:t>
          </a:r>
        </a:p>
      </xdr:txBody>
    </xdr:sp>
    <xdr:clientData/>
  </xdr:twoCellAnchor>
  <xdr:twoCellAnchor>
    <xdr:from>
      <xdr:col>8</xdr:col>
      <xdr:colOff>190500</xdr:colOff>
      <xdr:row>30</xdr:row>
      <xdr:rowOff>76200</xdr:rowOff>
    </xdr:from>
    <xdr:to>
      <xdr:col>9</xdr:col>
      <xdr:colOff>114300</xdr:colOff>
      <xdr:row>31</xdr:row>
      <xdr:rowOff>152400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6083300" y="5080000"/>
          <a:ext cx="8382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61"/>
  <sheetViews>
    <sheetView zoomScale="88" workbookViewId="0">
      <pane ySplit="1" topLeftCell="A126" activePane="bottomLeft" state="frozen"/>
      <selection pane="bottomLeft" activeCell="L162" sqref="L162"/>
    </sheetView>
  </sheetViews>
  <sheetFormatPr baseColWidth="10" defaultRowHeight="13" x14ac:dyDescent="0.15"/>
  <cols>
    <col min="1" max="1" width="22.1640625" bestFit="1" customWidth="1"/>
    <col min="2" max="2" width="10.6640625" bestFit="1" customWidth="1"/>
    <col min="3" max="3" width="8.83203125" customWidth="1"/>
    <col min="4" max="4" width="10.6640625" bestFit="1" customWidth="1"/>
    <col min="5" max="5" width="8.83203125" bestFit="1" customWidth="1"/>
    <col min="6" max="6" width="11.83203125" bestFit="1" customWidth="1"/>
    <col min="7" max="7" width="9.33203125" bestFit="1" customWidth="1"/>
    <col min="8" max="8" width="10.6640625" bestFit="1" customWidth="1"/>
    <col min="9" max="9" width="9.33203125" bestFit="1" customWidth="1"/>
    <col min="10" max="10" width="10.6640625" bestFit="1" customWidth="1"/>
    <col min="11" max="11" width="9.33203125" bestFit="1" customWidth="1"/>
    <col min="12" max="12" width="10.6640625" bestFit="1" customWidth="1"/>
    <col min="13" max="13" width="9.33203125" bestFit="1" customWidth="1"/>
    <col min="14" max="14" width="12" customWidth="1"/>
    <col min="15" max="15" width="13.1640625" customWidth="1"/>
    <col min="16" max="16" width="14.5" customWidth="1"/>
    <col min="17" max="17" width="13.83203125" customWidth="1"/>
    <col min="18" max="19" width="11.5" customWidth="1"/>
    <col min="20" max="20" width="11.33203125" customWidth="1"/>
    <col min="21" max="21" width="13.1640625" customWidth="1"/>
    <col min="22" max="22" width="14.33203125" customWidth="1"/>
    <col min="23" max="23" width="14.1640625" customWidth="1"/>
    <col min="24" max="24" width="12.5" customWidth="1"/>
    <col min="25" max="25" width="11.6640625" customWidth="1"/>
    <col min="26" max="256" width="8.83203125" customWidth="1"/>
  </cols>
  <sheetData>
    <row r="1" spans="1:25" ht="28" x14ac:dyDescent="0.15">
      <c r="A1" s="2" t="s">
        <v>168</v>
      </c>
      <c r="B1" s="6" t="s">
        <v>156</v>
      </c>
      <c r="C1" s="7" t="s">
        <v>157</v>
      </c>
      <c r="D1" s="6" t="s">
        <v>158</v>
      </c>
      <c r="E1" s="7" t="s">
        <v>159</v>
      </c>
      <c r="F1" s="6" t="s">
        <v>160</v>
      </c>
      <c r="G1" s="7" t="s">
        <v>161</v>
      </c>
      <c r="H1" s="6" t="s">
        <v>162</v>
      </c>
      <c r="I1" s="7" t="s">
        <v>163</v>
      </c>
      <c r="J1" s="6" t="s">
        <v>164</v>
      </c>
      <c r="K1" s="7" t="s">
        <v>165</v>
      </c>
      <c r="L1" s="6" t="s">
        <v>166</v>
      </c>
      <c r="M1" s="7" t="s">
        <v>167</v>
      </c>
      <c r="N1" s="5" t="s">
        <v>170</v>
      </c>
      <c r="O1" s="5" t="s">
        <v>169</v>
      </c>
      <c r="P1" s="5" t="s">
        <v>171</v>
      </c>
      <c r="Q1" s="5" t="s">
        <v>172</v>
      </c>
      <c r="R1" s="5" t="s">
        <v>173</v>
      </c>
      <c r="S1" s="5" t="s">
        <v>174</v>
      </c>
      <c r="T1" s="5" t="s">
        <v>175</v>
      </c>
      <c r="U1" s="5" t="s">
        <v>176</v>
      </c>
      <c r="V1" s="5" t="s">
        <v>177</v>
      </c>
      <c r="W1" s="5" t="s">
        <v>178</v>
      </c>
      <c r="X1" s="5" t="s">
        <v>179</v>
      </c>
      <c r="Y1" s="5" t="s">
        <v>180</v>
      </c>
    </row>
    <row r="2" spans="1:25" x14ac:dyDescent="0.15">
      <c r="A2" s="1" t="s">
        <v>0</v>
      </c>
      <c r="B2" s="3">
        <v>7394</v>
      </c>
      <c r="C2" s="3">
        <v>4.99</v>
      </c>
      <c r="D2" s="3">
        <v>2483</v>
      </c>
      <c r="E2" s="3">
        <v>4.99</v>
      </c>
      <c r="F2" s="3">
        <v>36815</v>
      </c>
      <c r="G2" s="3">
        <v>2.5</v>
      </c>
      <c r="H2" s="3">
        <v>6702</v>
      </c>
      <c r="I2" s="3">
        <v>4</v>
      </c>
      <c r="J2" s="3">
        <v>9486</v>
      </c>
      <c r="K2" s="3">
        <v>3.98</v>
      </c>
      <c r="L2" s="3">
        <v>11380</v>
      </c>
      <c r="M2" s="3">
        <v>2.2599999999999998</v>
      </c>
      <c r="N2">
        <f>LN(B2)</f>
        <v>8.908424139496578</v>
      </c>
      <c r="O2">
        <f t="shared" ref="O2:Y17" si="0">LN(C2)</f>
        <v>1.6074359097634274</v>
      </c>
      <c r="P2">
        <f t="shared" si="0"/>
        <v>7.8172227855081662</v>
      </c>
      <c r="Q2">
        <f t="shared" si="0"/>
        <v>1.6074359097634274</v>
      </c>
      <c r="R2">
        <f t="shared" si="0"/>
        <v>10.513660649802818</v>
      </c>
      <c r="S2">
        <f t="shared" si="0"/>
        <v>0.91629073187415511</v>
      </c>
      <c r="T2">
        <f t="shared" si="0"/>
        <v>8.8101612682972554</v>
      </c>
      <c r="U2">
        <f t="shared" si="0"/>
        <v>1.3862943611198906</v>
      </c>
      <c r="V2">
        <f t="shared" si="0"/>
        <v>9.1575723064375278</v>
      </c>
      <c r="W2">
        <f t="shared" si="0"/>
        <v>1.3812818192963463</v>
      </c>
      <c r="X2">
        <f t="shared" si="0"/>
        <v>9.3396127076803221</v>
      </c>
      <c r="Y2">
        <f t="shared" si="0"/>
        <v>0.81536481328419441</v>
      </c>
    </row>
    <row r="3" spans="1:25" x14ac:dyDescent="0.15">
      <c r="A3" s="1" t="s">
        <v>1</v>
      </c>
      <c r="B3" s="3">
        <v>5721</v>
      </c>
      <c r="C3" s="3">
        <v>5</v>
      </c>
      <c r="D3" s="3">
        <v>4054</v>
      </c>
      <c r="E3" s="3">
        <v>4.83</v>
      </c>
      <c r="F3" s="3">
        <v>29019</v>
      </c>
      <c r="G3" s="3">
        <v>2.5</v>
      </c>
      <c r="H3" s="3">
        <v>4990</v>
      </c>
      <c r="I3" s="3">
        <v>4</v>
      </c>
      <c r="J3" s="3">
        <v>7450</v>
      </c>
      <c r="K3" s="3">
        <v>4</v>
      </c>
      <c r="L3" s="3">
        <v>8460</v>
      </c>
      <c r="M3" s="3">
        <v>2.29</v>
      </c>
      <c r="N3">
        <f t="shared" ref="N3:R66" si="1">LN(B3)</f>
        <v>8.6518988942685287</v>
      </c>
      <c r="O3">
        <f t="shared" si="0"/>
        <v>1.6094379124341003</v>
      </c>
      <c r="P3">
        <f t="shared" si="0"/>
        <v>8.3074593270119461</v>
      </c>
      <c r="Q3">
        <f t="shared" si="0"/>
        <v>1.5748464676644813</v>
      </c>
      <c r="R3">
        <f t="shared" si="0"/>
        <v>10.275706066850656</v>
      </c>
      <c r="S3">
        <f t="shared" si="0"/>
        <v>0.91629073187415511</v>
      </c>
      <c r="T3">
        <f t="shared" si="0"/>
        <v>8.5151911887455647</v>
      </c>
      <c r="U3">
        <f t="shared" si="0"/>
        <v>1.3862943611198906</v>
      </c>
      <c r="V3">
        <f t="shared" si="0"/>
        <v>8.9159693113736047</v>
      </c>
      <c r="W3">
        <f t="shared" si="0"/>
        <v>1.3862943611198906</v>
      </c>
      <c r="X3">
        <f t="shared" si="0"/>
        <v>9.0431044526002697</v>
      </c>
      <c r="Y3">
        <f t="shared" si="0"/>
        <v>0.82855181756614826</v>
      </c>
    </row>
    <row r="4" spans="1:25" x14ac:dyDescent="0.15">
      <c r="A4" s="1" t="s">
        <v>2</v>
      </c>
      <c r="B4" s="3">
        <v>6084</v>
      </c>
      <c r="C4" s="3">
        <v>5.0999999999999996</v>
      </c>
      <c r="D4" s="3">
        <v>16585</v>
      </c>
      <c r="E4" s="3">
        <v>4.4800000000000004</v>
      </c>
      <c r="F4" s="3">
        <v>79794</v>
      </c>
      <c r="G4" s="3">
        <v>2</v>
      </c>
      <c r="H4" s="3">
        <v>5681</v>
      </c>
      <c r="I4" s="3">
        <v>4</v>
      </c>
      <c r="J4" s="3">
        <v>8102</v>
      </c>
      <c r="K4" s="3">
        <v>4</v>
      </c>
      <c r="L4" s="3">
        <v>6521</v>
      </c>
      <c r="M4" s="3">
        <v>2.34</v>
      </c>
      <c r="N4">
        <f t="shared" si="1"/>
        <v>8.7134176533791834</v>
      </c>
      <c r="O4">
        <f t="shared" si="0"/>
        <v>1.62924053973028</v>
      </c>
      <c r="P4">
        <f t="shared" si="0"/>
        <v>9.7162539513811534</v>
      </c>
      <c r="Q4">
        <f t="shared" si="0"/>
        <v>1.4996230464268938</v>
      </c>
      <c r="R4">
        <f t="shared" si="0"/>
        <v>11.287203592641218</v>
      </c>
      <c r="S4">
        <f t="shared" si="0"/>
        <v>0.69314718055994529</v>
      </c>
      <c r="T4">
        <f t="shared" si="0"/>
        <v>8.6448825525571262</v>
      </c>
      <c r="U4">
        <f t="shared" si="0"/>
        <v>1.3862943611198906</v>
      </c>
      <c r="V4">
        <f t="shared" si="0"/>
        <v>8.9998662237626359</v>
      </c>
      <c r="W4">
        <f t="shared" si="0"/>
        <v>1.3862943611198906</v>
      </c>
      <c r="X4">
        <f t="shared" si="0"/>
        <v>8.7827830173932018</v>
      </c>
      <c r="Y4">
        <f t="shared" si="0"/>
        <v>0.85015092936961001</v>
      </c>
    </row>
    <row r="5" spans="1:25" x14ac:dyDescent="0.15">
      <c r="A5" s="1" t="s">
        <v>3</v>
      </c>
      <c r="B5" s="3">
        <v>5965</v>
      </c>
      <c r="C5" s="3">
        <v>4.99</v>
      </c>
      <c r="D5" s="3">
        <v>11527</v>
      </c>
      <c r="E5" s="3">
        <v>4.49</v>
      </c>
      <c r="F5" s="3">
        <v>32075</v>
      </c>
      <c r="G5" s="3">
        <v>2.5</v>
      </c>
      <c r="H5" s="3">
        <v>23893</v>
      </c>
      <c r="I5" s="3">
        <v>3.33</v>
      </c>
      <c r="J5" s="3">
        <v>8970</v>
      </c>
      <c r="K5" s="3">
        <v>4</v>
      </c>
      <c r="L5" s="3">
        <v>9384</v>
      </c>
      <c r="M5" s="3">
        <v>2.23</v>
      </c>
      <c r="N5">
        <f t="shared" si="1"/>
        <v>8.6936643345320164</v>
      </c>
      <c r="O5">
        <f t="shared" si="0"/>
        <v>1.6074359097634274</v>
      </c>
      <c r="P5">
        <f t="shared" si="0"/>
        <v>9.3524473886010124</v>
      </c>
      <c r="Q5">
        <f t="shared" si="0"/>
        <v>1.501852701754163</v>
      </c>
      <c r="R5">
        <f t="shared" si="0"/>
        <v>10.375832189483837</v>
      </c>
      <c r="S5">
        <f t="shared" si="0"/>
        <v>0.91629073187415511</v>
      </c>
      <c r="T5">
        <f t="shared" si="0"/>
        <v>10.08134080799053</v>
      </c>
      <c r="U5">
        <f t="shared" si="0"/>
        <v>1.2029723039923526</v>
      </c>
      <c r="V5">
        <f t="shared" si="0"/>
        <v>9.1016409550528419</v>
      </c>
      <c r="W5">
        <f t="shared" si="0"/>
        <v>1.3862943611198906</v>
      </c>
      <c r="X5">
        <f t="shared" si="0"/>
        <v>9.146761390333312</v>
      </c>
      <c r="Y5">
        <f t="shared" si="0"/>
        <v>0.80200158547202738</v>
      </c>
    </row>
    <row r="6" spans="1:25" x14ac:dyDescent="0.15">
      <c r="A6" s="1" t="s">
        <v>4</v>
      </c>
      <c r="B6" s="3">
        <v>7002</v>
      </c>
      <c r="C6" s="3">
        <v>4.99</v>
      </c>
      <c r="D6" s="3">
        <v>2693</v>
      </c>
      <c r="E6" s="3">
        <v>4.99</v>
      </c>
      <c r="F6" s="3">
        <v>37042</v>
      </c>
      <c r="G6" s="3">
        <v>2.33</v>
      </c>
      <c r="H6" s="3">
        <v>6294</v>
      </c>
      <c r="I6" s="3">
        <v>3.99</v>
      </c>
      <c r="J6" s="3">
        <v>9146</v>
      </c>
      <c r="K6" s="3">
        <v>4</v>
      </c>
      <c r="L6" s="3">
        <v>9276</v>
      </c>
      <c r="M6" s="3">
        <v>2.25</v>
      </c>
      <c r="N6">
        <f t="shared" si="1"/>
        <v>8.8539511015146104</v>
      </c>
      <c r="O6">
        <f t="shared" si="0"/>
        <v>1.6074359097634274</v>
      </c>
      <c r="P6">
        <f t="shared" si="0"/>
        <v>7.8984110928115987</v>
      </c>
      <c r="Q6">
        <f t="shared" si="0"/>
        <v>1.6074359097634274</v>
      </c>
      <c r="R6">
        <f t="shared" si="0"/>
        <v>10.519807682982748</v>
      </c>
      <c r="S6">
        <f t="shared" si="0"/>
        <v>0.84586826757760925</v>
      </c>
      <c r="T6">
        <f t="shared" si="0"/>
        <v>8.7473520776243525</v>
      </c>
      <c r="U6">
        <f t="shared" si="0"/>
        <v>1.3837912309017721</v>
      </c>
      <c r="V6">
        <f t="shared" si="0"/>
        <v>9.1210719042180006</v>
      </c>
      <c r="W6">
        <f t="shared" si="0"/>
        <v>1.3862943611198906</v>
      </c>
      <c r="X6">
        <f t="shared" si="0"/>
        <v>9.1351856983754232</v>
      </c>
      <c r="Y6">
        <f t="shared" si="0"/>
        <v>0.81093021621632877</v>
      </c>
    </row>
    <row r="7" spans="1:25" x14ac:dyDescent="0.15">
      <c r="A7" s="1" t="s">
        <v>5</v>
      </c>
      <c r="B7" s="3">
        <v>6237</v>
      </c>
      <c r="C7" s="3">
        <v>4.99</v>
      </c>
      <c r="D7" s="3">
        <v>1916</v>
      </c>
      <c r="E7" s="3">
        <v>4.99</v>
      </c>
      <c r="F7" s="3">
        <v>32268</v>
      </c>
      <c r="G7" s="3">
        <v>2.4300000000000002</v>
      </c>
      <c r="H7" s="3">
        <v>26025</v>
      </c>
      <c r="I7" s="3">
        <v>3</v>
      </c>
      <c r="J7" s="3">
        <v>9100</v>
      </c>
      <c r="K7" s="3">
        <v>3.89</v>
      </c>
      <c r="L7" s="3">
        <v>6469</v>
      </c>
      <c r="M7" s="3">
        <v>2.2599999999999998</v>
      </c>
      <c r="N7">
        <f t="shared" si="1"/>
        <v>8.7382545765261224</v>
      </c>
      <c r="O7">
        <f t="shared" si="0"/>
        <v>1.6074359097634274</v>
      </c>
      <c r="P7">
        <f t="shared" si="0"/>
        <v>7.5579949585308057</v>
      </c>
      <c r="Q7">
        <f t="shared" si="0"/>
        <v>1.6074359097634274</v>
      </c>
      <c r="R7">
        <f t="shared" si="0"/>
        <v>10.381831306056865</v>
      </c>
      <c r="S7">
        <f t="shared" si="0"/>
        <v>0.88789125735245711</v>
      </c>
      <c r="T7">
        <f t="shared" si="0"/>
        <v>10.16681289348317</v>
      </c>
      <c r="U7">
        <f t="shared" si="0"/>
        <v>1.0986122886681098</v>
      </c>
      <c r="V7">
        <f t="shared" si="0"/>
        <v>9.1160296925049416</v>
      </c>
      <c r="W7">
        <f t="shared" si="0"/>
        <v>1.358409157630355</v>
      </c>
      <c r="X7">
        <f t="shared" si="0"/>
        <v>8.7747768160439854</v>
      </c>
      <c r="Y7">
        <f t="shared" si="0"/>
        <v>0.81536481328419441</v>
      </c>
    </row>
    <row r="8" spans="1:25" x14ac:dyDescent="0.15">
      <c r="A8" s="1" t="s">
        <v>6</v>
      </c>
      <c r="B8" s="3">
        <v>9945</v>
      </c>
      <c r="C8" s="3">
        <v>4.8899999999999997</v>
      </c>
      <c r="D8" s="3">
        <v>2483</v>
      </c>
      <c r="E8" s="3">
        <v>4.99</v>
      </c>
      <c r="F8" s="3">
        <v>30771</v>
      </c>
      <c r="G8" s="3">
        <v>2.48</v>
      </c>
      <c r="H8" s="3">
        <v>9786</v>
      </c>
      <c r="I8" s="3">
        <v>3.17</v>
      </c>
      <c r="J8" s="3">
        <v>71703</v>
      </c>
      <c r="K8" s="3">
        <v>2.38</v>
      </c>
      <c r="L8" s="3">
        <v>7428</v>
      </c>
      <c r="M8" s="3">
        <v>2.31</v>
      </c>
      <c r="N8">
        <f t="shared" si="1"/>
        <v>9.204825191288073</v>
      </c>
      <c r="O8">
        <f t="shared" si="0"/>
        <v>1.5871923034867805</v>
      </c>
      <c r="P8">
        <f t="shared" si="0"/>
        <v>7.8172227855081662</v>
      </c>
      <c r="Q8">
        <f t="shared" si="0"/>
        <v>1.6074359097634274</v>
      </c>
      <c r="R8">
        <f t="shared" si="0"/>
        <v>10.33432796697552</v>
      </c>
      <c r="S8">
        <f t="shared" si="0"/>
        <v>0.90825856017689077</v>
      </c>
      <c r="T8">
        <f t="shared" si="0"/>
        <v>9.188708071849069</v>
      </c>
      <c r="U8">
        <f t="shared" si="0"/>
        <v>1.1537315878891892</v>
      </c>
      <c r="V8">
        <f t="shared" si="0"/>
        <v>11.180287866716585</v>
      </c>
      <c r="W8">
        <f t="shared" si="0"/>
        <v>0.86710048768338333</v>
      </c>
      <c r="X8">
        <f t="shared" si="0"/>
        <v>8.913011922472597</v>
      </c>
      <c r="Y8">
        <f t="shared" si="0"/>
        <v>0.83724752453370221</v>
      </c>
    </row>
    <row r="9" spans="1:25" x14ac:dyDescent="0.15">
      <c r="A9" s="1" t="s">
        <v>7</v>
      </c>
      <c r="B9" s="3">
        <v>22657</v>
      </c>
      <c r="C9" s="3">
        <v>4.53</v>
      </c>
      <c r="D9" s="3">
        <v>2211</v>
      </c>
      <c r="E9" s="3">
        <v>4.92</v>
      </c>
      <c r="F9" s="3">
        <v>74850</v>
      </c>
      <c r="G9" s="3">
        <v>2.2200000000000002</v>
      </c>
      <c r="H9" s="3">
        <v>7048</v>
      </c>
      <c r="I9" s="3">
        <v>3.77</v>
      </c>
      <c r="J9" s="3">
        <v>12678</v>
      </c>
      <c r="K9" s="3">
        <v>3.92</v>
      </c>
      <c r="L9" s="3">
        <v>9117</v>
      </c>
      <c r="M9" s="3">
        <v>2.2999999999999998</v>
      </c>
      <c r="N9">
        <f t="shared" si="1"/>
        <v>10.028224133937455</v>
      </c>
      <c r="O9">
        <f t="shared" si="0"/>
        <v>1.5107219394949427</v>
      </c>
      <c r="P9">
        <f t="shared" si="0"/>
        <v>7.7012001808574464</v>
      </c>
      <c r="Q9">
        <f t="shared" si="0"/>
        <v>1.5933085305042167</v>
      </c>
      <c r="R9">
        <f t="shared" si="0"/>
        <v>11.223241389847775</v>
      </c>
      <c r="S9">
        <f t="shared" si="0"/>
        <v>0.79750719588418817</v>
      </c>
      <c r="T9">
        <f t="shared" si="0"/>
        <v>8.8604991676160161</v>
      </c>
      <c r="U9">
        <f t="shared" si="0"/>
        <v>1.3270750014599193</v>
      </c>
      <c r="V9">
        <f t="shared" si="0"/>
        <v>9.4476234868441118</v>
      </c>
      <c r="W9">
        <f t="shared" si="0"/>
        <v>1.3660916538023711</v>
      </c>
      <c r="X9">
        <f t="shared" si="0"/>
        <v>9.1178960815849024</v>
      </c>
      <c r="Y9">
        <f t="shared" si="0"/>
        <v>0.83290912293510388</v>
      </c>
    </row>
    <row r="10" spans="1:25" x14ac:dyDescent="0.15">
      <c r="A10" s="1" t="s">
        <v>8</v>
      </c>
      <c r="B10" s="3">
        <v>17702</v>
      </c>
      <c r="C10" s="3">
        <v>4.54</v>
      </c>
      <c r="D10" s="3">
        <v>3249</v>
      </c>
      <c r="E10" s="3">
        <v>4.99</v>
      </c>
      <c r="F10" s="3">
        <v>33033</v>
      </c>
      <c r="G10" s="3">
        <v>2.5</v>
      </c>
      <c r="H10" s="3">
        <v>5608</v>
      </c>
      <c r="I10" s="3">
        <v>4</v>
      </c>
      <c r="J10" s="3">
        <v>9667</v>
      </c>
      <c r="K10" s="3">
        <v>4</v>
      </c>
      <c r="L10" s="3">
        <v>11816</v>
      </c>
      <c r="M10" s="3">
        <v>2.23</v>
      </c>
      <c r="N10">
        <f t="shared" si="1"/>
        <v>9.7814329065288224</v>
      </c>
      <c r="O10">
        <f t="shared" si="0"/>
        <v>1.5129270120532565</v>
      </c>
      <c r="P10">
        <f t="shared" si="0"/>
        <v>8.0861025356691005</v>
      </c>
      <c r="Q10">
        <f t="shared" si="0"/>
        <v>1.6074359097634274</v>
      </c>
      <c r="R10">
        <f t="shared" si="0"/>
        <v>10.4052623407817</v>
      </c>
      <c r="S10">
        <f t="shared" si="0"/>
        <v>0.91629073187415511</v>
      </c>
      <c r="T10">
        <f t="shared" si="0"/>
        <v>8.6319494287144263</v>
      </c>
      <c r="U10">
        <f t="shared" si="0"/>
        <v>1.3862943611198906</v>
      </c>
      <c r="V10">
        <f t="shared" si="0"/>
        <v>9.1764733024646059</v>
      </c>
      <c r="W10">
        <f t="shared" si="0"/>
        <v>1.3862943611198906</v>
      </c>
      <c r="X10">
        <f t="shared" si="0"/>
        <v>9.3772098242112154</v>
      </c>
      <c r="Y10">
        <f t="shared" si="0"/>
        <v>0.80200158547202738</v>
      </c>
    </row>
    <row r="11" spans="1:25" x14ac:dyDescent="0.15">
      <c r="A11" s="1" t="s">
        <v>9</v>
      </c>
      <c r="B11" s="3">
        <v>6736</v>
      </c>
      <c r="C11" s="3">
        <v>4.99</v>
      </c>
      <c r="D11" s="3">
        <v>2432</v>
      </c>
      <c r="E11" s="3">
        <v>4.99</v>
      </c>
      <c r="F11" s="3">
        <v>27851</v>
      </c>
      <c r="G11" s="3">
        <v>2.5</v>
      </c>
      <c r="H11" s="3">
        <v>6543</v>
      </c>
      <c r="I11" s="3">
        <v>3.99</v>
      </c>
      <c r="J11" s="3">
        <v>10682</v>
      </c>
      <c r="K11" s="3">
        <v>4</v>
      </c>
      <c r="L11" s="3">
        <v>7530</v>
      </c>
      <c r="M11" s="3">
        <v>2.33</v>
      </c>
      <c r="N11">
        <f t="shared" si="1"/>
        <v>8.8152215559221627</v>
      </c>
      <c r="O11">
        <f t="shared" si="0"/>
        <v>1.6074359097634274</v>
      </c>
      <c r="P11">
        <f t="shared" si="0"/>
        <v>7.796469243086058</v>
      </c>
      <c r="Q11">
        <f t="shared" si="0"/>
        <v>1.6074359097634274</v>
      </c>
      <c r="R11">
        <f t="shared" si="0"/>
        <v>10.234624151353531</v>
      </c>
      <c r="S11">
        <f t="shared" si="0"/>
        <v>0.91629073187415511</v>
      </c>
      <c r="T11">
        <f t="shared" si="0"/>
        <v>8.7861510548697392</v>
      </c>
      <c r="U11">
        <f t="shared" si="0"/>
        <v>1.3837912309017721</v>
      </c>
      <c r="V11">
        <f t="shared" si="0"/>
        <v>9.2763153608997158</v>
      </c>
      <c r="W11">
        <f t="shared" si="0"/>
        <v>1.3862943611198906</v>
      </c>
      <c r="X11">
        <f t="shared" si="0"/>
        <v>8.9266503207939394</v>
      </c>
      <c r="Y11">
        <f t="shared" si="0"/>
        <v>0.84586826757760925</v>
      </c>
    </row>
    <row r="12" spans="1:25" x14ac:dyDescent="0.15">
      <c r="A12" s="1" t="s">
        <v>10</v>
      </c>
      <c r="B12" s="3">
        <v>9605</v>
      </c>
      <c r="C12" s="3">
        <v>4.54</v>
      </c>
      <c r="D12" s="3">
        <v>3759</v>
      </c>
      <c r="E12" s="3">
        <v>4.75</v>
      </c>
      <c r="F12" s="3">
        <v>21211</v>
      </c>
      <c r="G12" s="3">
        <v>2.5</v>
      </c>
      <c r="H12" s="3">
        <v>40325</v>
      </c>
      <c r="I12" s="3">
        <v>2.46</v>
      </c>
      <c r="J12" s="3">
        <v>63895</v>
      </c>
      <c r="K12" s="3">
        <v>2.48</v>
      </c>
      <c r="L12" s="3">
        <v>3827</v>
      </c>
      <c r="M12" s="3">
        <v>2.36</v>
      </c>
      <c r="N12">
        <f t="shared" si="1"/>
        <v>9.1700390752026575</v>
      </c>
      <c r="O12">
        <f t="shared" si="0"/>
        <v>1.5129270120532565</v>
      </c>
      <c r="P12">
        <f t="shared" si="0"/>
        <v>8.2319082435641775</v>
      </c>
      <c r="Q12">
        <f t="shared" si="0"/>
        <v>1.5581446180465499</v>
      </c>
      <c r="R12">
        <f t="shared" si="0"/>
        <v>9.9622751940192167</v>
      </c>
      <c r="S12">
        <f t="shared" si="0"/>
        <v>0.91629073187415511</v>
      </c>
      <c r="T12">
        <f t="shared" si="0"/>
        <v>10.604726902993409</v>
      </c>
      <c r="U12">
        <f t="shared" si="0"/>
        <v>0.90016134994427144</v>
      </c>
      <c r="V12">
        <f t="shared" si="0"/>
        <v>11.064996390042804</v>
      </c>
      <c r="W12">
        <f t="shared" si="0"/>
        <v>0.90825856017689077</v>
      </c>
      <c r="X12">
        <f t="shared" si="0"/>
        <v>8.2498364854257016</v>
      </c>
      <c r="Y12">
        <f t="shared" si="0"/>
        <v>0.8586616190375187</v>
      </c>
    </row>
    <row r="13" spans="1:25" x14ac:dyDescent="0.15">
      <c r="A13" s="1" t="s">
        <v>11</v>
      </c>
      <c r="B13" s="3">
        <v>5494</v>
      </c>
      <c r="C13" s="3">
        <v>4.96</v>
      </c>
      <c r="D13" s="3">
        <v>10954</v>
      </c>
      <c r="E13" s="3">
        <v>4.5199999999999996</v>
      </c>
      <c r="F13" s="3">
        <v>28537</v>
      </c>
      <c r="G13" s="3">
        <v>2.5</v>
      </c>
      <c r="H13" s="3">
        <v>5897</v>
      </c>
      <c r="I13" s="3">
        <v>3.68</v>
      </c>
      <c r="J13" s="3">
        <v>8318</v>
      </c>
      <c r="K13" s="3">
        <v>3.93</v>
      </c>
      <c r="L13" s="3">
        <v>28288</v>
      </c>
      <c r="M13" s="3">
        <v>1.95</v>
      </c>
      <c r="N13">
        <f t="shared" si="1"/>
        <v>8.6114118666552191</v>
      </c>
      <c r="O13">
        <f t="shared" si="0"/>
        <v>1.6014057407368361</v>
      </c>
      <c r="P13">
        <f t="shared" si="0"/>
        <v>9.3014599653436658</v>
      </c>
      <c r="Q13">
        <f t="shared" si="0"/>
        <v>1.5085119938441398</v>
      </c>
      <c r="R13">
        <f t="shared" si="0"/>
        <v>10.258956769878603</v>
      </c>
      <c r="S13">
        <f t="shared" si="0"/>
        <v>0.91629073187415511</v>
      </c>
      <c r="T13">
        <f t="shared" si="0"/>
        <v>8.6821990260005037</v>
      </c>
      <c r="U13">
        <f t="shared" si="0"/>
        <v>1.3029127521808397</v>
      </c>
      <c r="V13">
        <f t="shared" si="0"/>
        <v>9.0261771203028562</v>
      </c>
      <c r="W13">
        <f t="shared" si="0"/>
        <v>1.3686394258811698</v>
      </c>
      <c r="X13">
        <f t="shared" si="0"/>
        <v>10.250192965437369</v>
      </c>
      <c r="Y13">
        <f t="shared" si="0"/>
        <v>0.66782937257565544</v>
      </c>
    </row>
    <row r="14" spans="1:25" x14ac:dyDescent="0.15">
      <c r="A14" s="1" t="s">
        <v>12</v>
      </c>
      <c r="B14" s="3">
        <v>5443</v>
      </c>
      <c r="C14" s="3">
        <v>4.9800000000000004</v>
      </c>
      <c r="D14" s="3">
        <v>8545</v>
      </c>
      <c r="E14" s="3">
        <v>4.53</v>
      </c>
      <c r="F14" s="3">
        <v>31440</v>
      </c>
      <c r="G14" s="3">
        <v>2.5</v>
      </c>
      <c r="H14" s="3">
        <v>6645</v>
      </c>
      <c r="I14" s="3">
        <v>3.57</v>
      </c>
      <c r="J14" s="3">
        <v>8380</v>
      </c>
      <c r="K14" s="3">
        <v>4</v>
      </c>
      <c r="L14" s="3">
        <v>8726</v>
      </c>
      <c r="M14" s="3">
        <v>2.5</v>
      </c>
      <c r="N14">
        <f t="shared" si="1"/>
        <v>8.6020856584342003</v>
      </c>
      <c r="O14">
        <f t="shared" si="0"/>
        <v>1.6054298910365616</v>
      </c>
      <c r="P14">
        <f t="shared" si="0"/>
        <v>9.0531015955496912</v>
      </c>
      <c r="Q14">
        <f t="shared" si="0"/>
        <v>1.5107219394949427</v>
      </c>
      <c r="R14">
        <f t="shared" si="0"/>
        <v>10.355836246543143</v>
      </c>
      <c r="S14">
        <f t="shared" si="0"/>
        <v>0.91629073187415511</v>
      </c>
      <c r="T14">
        <f t="shared" si="0"/>
        <v>8.8016199711473462</v>
      </c>
      <c r="U14">
        <f t="shared" si="0"/>
        <v>1.2725655957915476</v>
      </c>
      <c r="V14">
        <f t="shared" si="0"/>
        <v>9.0336031934761287</v>
      </c>
      <c r="W14">
        <f t="shared" si="0"/>
        <v>1.3862943611198906</v>
      </c>
      <c r="X14">
        <f t="shared" si="0"/>
        <v>9.074062353683555</v>
      </c>
      <c r="Y14">
        <f t="shared" si="0"/>
        <v>0.91629073187415511</v>
      </c>
    </row>
    <row r="15" spans="1:25" x14ac:dyDescent="0.15">
      <c r="A15" s="1" t="s">
        <v>13</v>
      </c>
      <c r="B15" s="3">
        <v>5381</v>
      </c>
      <c r="C15" s="3">
        <v>4.99</v>
      </c>
      <c r="D15" s="3">
        <v>2149</v>
      </c>
      <c r="E15" s="3">
        <v>4.99</v>
      </c>
      <c r="F15" s="3">
        <v>61979</v>
      </c>
      <c r="G15" s="3">
        <v>2.2200000000000002</v>
      </c>
      <c r="H15" s="3">
        <v>11062</v>
      </c>
      <c r="I15" s="3">
        <v>3.33</v>
      </c>
      <c r="J15" s="3">
        <v>7161</v>
      </c>
      <c r="K15" s="3">
        <v>4</v>
      </c>
      <c r="L15" s="3">
        <v>7320</v>
      </c>
      <c r="M15" s="3">
        <v>2.5</v>
      </c>
      <c r="N15">
        <f t="shared" si="1"/>
        <v>8.5906295094894194</v>
      </c>
      <c r="O15">
        <f t="shared" si="0"/>
        <v>1.6074359097634274</v>
      </c>
      <c r="P15">
        <f t="shared" si="0"/>
        <v>7.6727578966425103</v>
      </c>
      <c r="Q15">
        <f t="shared" si="0"/>
        <v>1.6074359097634274</v>
      </c>
      <c r="R15">
        <f t="shared" si="0"/>
        <v>11.03455089697473</v>
      </c>
      <c r="S15">
        <f t="shared" si="0"/>
        <v>0.79750719588418817</v>
      </c>
      <c r="T15">
        <f t="shared" si="0"/>
        <v>9.311271090554623</v>
      </c>
      <c r="U15">
        <f t="shared" si="0"/>
        <v>1.2029723039923526</v>
      </c>
      <c r="V15">
        <f t="shared" si="0"/>
        <v>8.8764049150069404</v>
      </c>
      <c r="W15">
        <f t="shared" si="0"/>
        <v>1.3862943611198906</v>
      </c>
      <c r="X15">
        <f t="shared" si="0"/>
        <v>8.8983656069553572</v>
      </c>
      <c r="Y15">
        <f t="shared" si="0"/>
        <v>0.91629073187415511</v>
      </c>
    </row>
    <row r="16" spans="1:25" x14ac:dyDescent="0.15">
      <c r="A16" s="1" t="s">
        <v>14</v>
      </c>
      <c r="B16" s="3">
        <v>5415</v>
      </c>
      <c r="C16" s="3">
        <v>4.99</v>
      </c>
      <c r="D16" s="3">
        <v>2897</v>
      </c>
      <c r="E16" s="3">
        <v>4.9800000000000004</v>
      </c>
      <c r="F16" s="3">
        <v>27534</v>
      </c>
      <c r="G16" s="3">
        <v>2.5</v>
      </c>
      <c r="H16" s="3">
        <v>11941</v>
      </c>
      <c r="I16" s="3">
        <v>3.33</v>
      </c>
      <c r="J16" s="3">
        <v>7354</v>
      </c>
      <c r="K16" s="3">
        <v>4</v>
      </c>
      <c r="L16" s="3">
        <v>6107</v>
      </c>
      <c r="M16" s="3">
        <v>2.5</v>
      </c>
      <c r="N16">
        <f t="shared" si="1"/>
        <v>8.596928159435091</v>
      </c>
      <c r="O16">
        <f t="shared" si="0"/>
        <v>1.6074359097634274</v>
      </c>
      <c r="P16">
        <f t="shared" si="0"/>
        <v>7.9714309977693505</v>
      </c>
      <c r="Q16">
        <f t="shared" si="0"/>
        <v>1.6054298910365616</v>
      </c>
      <c r="R16">
        <f t="shared" si="0"/>
        <v>10.223176883622889</v>
      </c>
      <c r="S16">
        <f t="shared" si="0"/>
        <v>0.91629073187415511</v>
      </c>
      <c r="T16">
        <f t="shared" si="0"/>
        <v>9.3877331355333844</v>
      </c>
      <c r="U16">
        <f t="shared" si="0"/>
        <v>1.2029723039923526</v>
      </c>
      <c r="V16">
        <f t="shared" si="0"/>
        <v>8.9029996618612177</v>
      </c>
      <c r="W16">
        <f t="shared" si="0"/>
        <v>1.3862943611198906</v>
      </c>
      <c r="X16">
        <f t="shared" si="0"/>
        <v>8.7171909332231348</v>
      </c>
      <c r="Y16">
        <f t="shared" si="0"/>
        <v>0.91629073187415511</v>
      </c>
    </row>
    <row r="17" spans="1:25" x14ac:dyDescent="0.15">
      <c r="A17" s="1" t="s">
        <v>15</v>
      </c>
      <c r="B17" s="3">
        <v>13954</v>
      </c>
      <c r="C17" s="3">
        <v>4.58</v>
      </c>
      <c r="D17" s="3">
        <v>3181</v>
      </c>
      <c r="E17" s="3">
        <v>4.59</v>
      </c>
      <c r="F17" s="3">
        <v>39100</v>
      </c>
      <c r="G17" s="3">
        <v>2.29</v>
      </c>
      <c r="H17" s="3">
        <v>9242</v>
      </c>
      <c r="I17" s="3">
        <v>3.46</v>
      </c>
      <c r="J17" s="3">
        <v>10614</v>
      </c>
      <c r="K17" s="3">
        <v>3.69</v>
      </c>
      <c r="L17" s="3">
        <v>9458</v>
      </c>
      <c r="M17" s="3">
        <v>2.29</v>
      </c>
      <c r="N17">
        <f t="shared" si="1"/>
        <v>9.5435214844991823</v>
      </c>
      <c r="O17">
        <f t="shared" si="0"/>
        <v>1.5216989981260935</v>
      </c>
      <c r="P17">
        <f t="shared" si="0"/>
        <v>8.0649508917491435</v>
      </c>
      <c r="Q17">
        <f t="shared" si="0"/>
        <v>1.5238800240724537</v>
      </c>
      <c r="R17">
        <f t="shared" si="0"/>
        <v>10.573877745973457</v>
      </c>
      <c r="S17">
        <f t="shared" si="0"/>
        <v>0.82855181756614826</v>
      </c>
      <c r="T17">
        <f t="shared" si="0"/>
        <v>9.1315135914302115</v>
      </c>
      <c r="U17">
        <f t="shared" si="0"/>
        <v>1.2412685890696329</v>
      </c>
      <c r="V17">
        <f t="shared" si="0"/>
        <v>9.2699291633878396</v>
      </c>
      <c r="W17">
        <f t="shared" si="0"/>
        <v>1.3056264580524357</v>
      </c>
      <c r="X17">
        <f t="shared" si="0"/>
        <v>9.1546162232038206</v>
      </c>
      <c r="Y17">
        <f t="shared" si="0"/>
        <v>0.82855181756614826</v>
      </c>
    </row>
    <row r="18" spans="1:25" x14ac:dyDescent="0.15">
      <c r="A18" s="1" t="s">
        <v>16</v>
      </c>
      <c r="B18" s="3">
        <v>4939</v>
      </c>
      <c r="C18" s="3">
        <v>4.99</v>
      </c>
      <c r="D18" s="3">
        <v>2104</v>
      </c>
      <c r="E18" s="3">
        <v>4.99</v>
      </c>
      <c r="F18" s="3">
        <v>27284</v>
      </c>
      <c r="G18" s="3">
        <v>2.5</v>
      </c>
      <c r="H18" s="3">
        <v>4797</v>
      </c>
      <c r="I18" s="3">
        <v>3.99</v>
      </c>
      <c r="J18" s="3">
        <v>7343</v>
      </c>
      <c r="K18" s="3">
        <v>4</v>
      </c>
      <c r="L18" s="3">
        <v>7309</v>
      </c>
      <c r="M18" s="3">
        <v>2.5</v>
      </c>
      <c r="N18">
        <f t="shared" si="1"/>
        <v>8.5049181605406243</v>
      </c>
      <c r="O18">
        <f t="shared" si="1"/>
        <v>1.6074359097634274</v>
      </c>
      <c r="P18">
        <f t="shared" si="1"/>
        <v>7.6515955738576009</v>
      </c>
      <c r="Q18">
        <f t="shared" si="1"/>
        <v>1.6074359097634274</v>
      </c>
      <c r="R18">
        <f t="shared" si="1"/>
        <v>10.214055728774611</v>
      </c>
      <c r="S18">
        <f t="shared" ref="S18:V81" si="2">LN(G18)</f>
        <v>0.91629073187415511</v>
      </c>
      <c r="T18">
        <f t="shared" si="2"/>
        <v>8.4757460015020634</v>
      </c>
      <c r="U18">
        <f t="shared" si="2"/>
        <v>1.3837912309017721</v>
      </c>
      <c r="V18">
        <f t="shared" si="2"/>
        <v>8.9015027574516097</v>
      </c>
      <c r="W18">
        <f t="shared" ref="W18:Y81" si="3">LN(K18)</f>
        <v>1.3862943611198906</v>
      </c>
      <c r="X18">
        <f t="shared" si="3"/>
        <v>8.8968617444803915</v>
      </c>
      <c r="Y18">
        <f t="shared" si="3"/>
        <v>0.91629073187415511</v>
      </c>
    </row>
    <row r="19" spans="1:25" x14ac:dyDescent="0.15">
      <c r="A19" s="1" t="s">
        <v>17</v>
      </c>
      <c r="B19" s="3">
        <v>5687</v>
      </c>
      <c r="C19" s="3">
        <v>4.99</v>
      </c>
      <c r="D19" s="3">
        <v>2257</v>
      </c>
      <c r="E19" s="3">
        <v>4.99</v>
      </c>
      <c r="F19" s="3">
        <v>27947</v>
      </c>
      <c r="G19" s="3">
        <v>2.5</v>
      </c>
      <c r="H19" s="3">
        <v>4888</v>
      </c>
      <c r="I19" s="3">
        <v>4</v>
      </c>
      <c r="J19" s="3">
        <v>8193</v>
      </c>
      <c r="K19" s="3">
        <v>4</v>
      </c>
      <c r="L19" s="3">
        <v>29115</v>
      </c>
      <c r="M19" s="3">
        <v>2</v>
      </c>
      <c r="N19">
        <f t="shared" si="1"/>
        <v>8.6459381473067989</v>
      </c>
      <c r="O19">
        <f t="shared" si="1"/>
        <v>1.6074359097634274</v>
      </c>
      <c r="P19">
        <f t="shared" si="1"/>
        <v>7.7217917768175353</v>
      </c>
      <c r="Q19">
        <f t="shared" si="1"/>
        <v>1.6074359097634274</v>
      </c>
      <c r="R19">
        <f t="shared" si="1"/>
        <v>10.238065138296543</v>
      </c>
      <c r="S19">
        <f t="shared" si="2"/>
        <v>0.91629073187415511</v>
      </c>
      <c r="T19">
        <f t="shared" si="2"/>
        <v>8.4945385008514318</v>
      </c>
      <c r="U19">
        <f t="shared" si="2"/>
        <v>1.3862943611198906</v>
      </c>
      <c r="V19">
        <f t="shared" si="2"/>
        <v>9.0110354101418153</v>
      </c>
      <c r="W19">
        <f t="shared" si="3"/>
        <v>1.3862943611198906</v>
      </c>
      <c r="X19">
        <f t="shared" si="3"/>
        <v>10.27900878427122</v>
      </c>
      <c r="Y19">
        <f t="shared" si="3"/>
        <v>0.69314718055994529</v>
      </c>
    </row>
    <row r="20" spans="1:25" x14ac:dyDescent="0.15">
      <c r="A20" s="1" t="s">
        <v>18</v>
      </c>
      <c r="B20" s="3">
        <v>7507</v>
      </c>
      <c r="C20" s="3">
        <v>4.8099999999999996</v>
      </c>
      <c r="D20" s="3">
        <v>2495</v>
      </c>
      <c r="E20" s="3">
        <v>4.99</v>
      </c>
      <c r="F20" s="3">
        <v>26161</v>
      </c>
      <c r="G20" s="3">
        <v>2.5</v>
      </c>
      <c r="H20" s="3">
        <v>4355</v>
      </c>
      <c r="I20" s="3">
        <v>3.98</v>
      </c>
      <c r="J20" s="3">
        <v>21002</v>
      </c>
      <c r="K20" s="3">
        <v>3.31</v>
      </c>
      <c r="L20" s="3">
        <v>5999</v>
      </c>
      <c r="M20" s="3">
        <v>2.48</v>
      </c>
      <c r="N20">
        <f t="shared" si="1"/>
        <v>8.9235911975730016</v>
      </c>
      <c r="O20">
        <f t="shared" si="1"/>
        <v>1.5706970841176697</v>
      </c>
      <c r="P20">
        <f t="shared" si="1"/>
        <v>7.8220440081856193</v>
      </c>
      <c r="Q20">
        <f t="shared" si="1"/>
        <v>1.6074359097634274</v>
      </c>
      <c r="R20">
        <f t="shared" si="1"/>
        <v>10.172025031140222</v>
      </c>
      <c r="S20">
        <f t="shared" si="2"/>
        <v>0.91629073187415511</v>
      </c>
      <c r="T20">
        <f t="shared" si="2"/>
        <v>8.3790798892866025</v>
      </c>
      <c r="U20">
        <f t="shared" si="2"/>
        <v>1.3812818192963463</v>
      </c>
      <c r="V20">
        <f t="shared" si="2"/>
        <v>9.9523729502659393</v>
      </c>
      <c r="W20">
        <f t="shared" si="3"/>
        <v>1.1969481893889715</v>
      </c>
      <c r="X20">
        <f t="shared" si="3"/>
        <v>8.6993480676530925</v>
      </c>
      <c r="Y20">
        <f t="shared" si="3"/>
        <v>0.90825856017689077</v>
      </c>
    </row>
    <row r="21" spans="1:25" x14ac:dyDescent="0.15">
      <c r="A21" s="1" t="s">
        <v>19</v>
      </c>
      <c r="B21" s="3">
        <v>18530</v>
      </c>
      <c r="C21" s="3">
        <v>4.5199999999999996</v>
      </c>
      <c r="D21" s="3">
        <v>1729</v>
      </c>
      <c r="E21" s="3">
        <v>4.99</v>
      </c>
      <c r="F21" s="3">
        <v>28656</v>
      </c>
      <c r="G21" s="3">
        <v>2.5</v>
      </c>
      <c r="H21" s="3">
        <v>15309</v>
      </c>
      <c r="I21" s="3">
        <v>3.33</v>
      </c>
      <c r="J21" s="3">
        <v>7836</v>
      </c>
      <c r="K21" s="3">
        <v>3.93</v>
      </c>
      <c r="L21" s="3">
        <v>5834</v>
      </c>
      <c r="M21" s="3">
        <v>2.4700000000000002</v>
      </c>
      <c r="N21">
        <f t="shared" si="1"/>
        <v>9.8271463192794055</v>
      </c>
      <c r="O21">
        <f t="shared" si="1"/>
        <v>1.5085119938441398</v>
      </c>
      <c r="P21">
        <f t="shared" si="1"/>
        <v>7.4552984856832909</v>
      </c>
      <c r="Q21">
        <f t="shared" si="1"/>
        <v>1.6074359097634274</v>
      </c>
      <c r="R21">
        <f t="shared" si="1"/>
        <v>10.263118124300494</v>
      </c>
      <c r="S21">
        <f t="shared" si="2"/>
        <v>0.91629073187415511</v>
      </c>
      <c r="T21">
        <f t="shared" si="2"/>
        <v>9.6361961697320808</v>
      </c>
      <c r="U21">
        <f t="shared" si="2"/>
        <v>1.2029723039923526</v>
      </c>
      <c r="V21">
        <f t="shared" si="2"/>
        <v>8.9664837790644309</v>
      </c>
      <c r="W21">
        <f t="shared" si="3"/>
        <v>1.3686394258811698</v>
      </c>
      <c r="X21">
        <f t="shared" si="3"/>
        <v>8.6714581504276662</v>
      </c>
      <c r="Y21">
        <f t="shared" si="3"/>
        <v>0.90421815063988586</v>
      </c>
    </row>
    <row r="22" spans="1:25" x14ac:dyDescent="0.15">
      <c r="A22" s="1" t="s">
        <v>20</v>
      </c>
      <c r="B22" s="3">
        <v>15661</v>
      </c>
      <c r="C22" s="3">
        <v>4.53</v>
      </c>
      <c r="D22" s="3">
        <v>1962</v>
      </c>
      <c r="E22" s="3">
        <v>4.99</v>
      </c>
      <c r="F22" s="3">
        <v>33856</v>
      </c>
      <c r="G22" s="3">
        <v>2.5</v>
      </c>
      <c r="H22" s="3">
        <v>6481</v>
      </c>
      <c r="I22" s="3">
        <v>3.99</v>
      </c>
      <c r="J22" s="3">
        <v>27346</v>
      </c>
      <c r="K22" s="3">
        <v>3.33</v>
      </c>
      <c r="L22" s="3">
        <v>7484</v>
      </c>
      <c r="M22" s="3">
        <v>2.48</v>
      </c>
      <c r="N22">
        <f t="shared" si="1"/>
        <v>9.6589288244664342</v>
      </c>
      <c r="O22">
        <f t="shared" si="1"/>
        <v>1.5107219394949427</v>
      </c>
      <c r="P22">
        <f t="shared" si="1"/>
        <v>7.581719640125308</v>
      </c>
      <c r="Q22">
        <f t="shared" si="1"/>
        <v>1.6074359097634274</v>
      </c>
      <c r="R22">
        <f t="shared" si="1"/>
        <v>10.429871515217972</v>
      </c>
      <c r="S22">
        <f t="shared" si="2"/>
        <v>0.91629073187415511</v>
      </c>
      <c r="T22">
        <f t="shared" si="2"/>
        <v>8.7766300984277166</v>
      </c>
      <c r="U22">
        <f t="shared" si="2"/>
        <v>1.3837912309017721</v>
      </c>
      <c r="V22">
        <f t="shared" si="2"/>
        <v>10.216325544869028</v>
      </c>
      <c r="W22">
        <f t="shared" si="3"/>
        <v>1.2029723039923526</v>
      </c>
      <c r="X22">
        <f t="shared" si="3"/>
        <v>8.92052268739398</v>
      </c>
      <c r="Y22">
        <f t="shared" si="3"/>
        <v>0.90825856017689077</v>
      </c>
    </row>
    <row r="23" spans="1:25" x14ac:dyDescent="0.15">
      <c r="A23" s="1" t="s">
        <v>21</v>
      </c>
      <c r="B23" s="3">
        <v>4218</v>
      </c>
      <c r="C23" s="3">
        <v>4.99</v>
      </c>
      <c r="D23" s="3">
        <v>1531</v>
      </c>
      <c r="E23" s="3">
        <v>4.99</v>
      </c>
      <c r="F23" s="3">
        <v>36039</v>
      </c>
      <c r="G23" s="3">
        <v>2.5</v>
      </c>
      <c r="H23" s="3">
        <v>4065</v>
      </c>
      <c r="I23" s="3">
        <v>3.99</v>
      </c>
      <c r="J23" s="3">
        <v>6129</v>
      </c>
      <c r="K23" s="3">
        <v>3.99</v>
      </c>
      <c r="L23" s="3">
        <v>5551</v>
      </c>
      <c r="M23" s="3">
        <v>2.5</v>
      </c>
      <c r="N23">
        <f t="shared" si="1"/>
        <v>8.3471163610387205</v>
      </c>
      <c r="O23">
        <f t="shared" si="1"/>
        <v>1.6074359097634274</v>
      </c>
      <c r="P23">
        <f t="shared" si="1"/>
        <v>7.333676395657684</v>
      </c>
      <c r="Q23">
        <f t="shared" si="1"/>
        <v>1.6074359097634274</v>
      </c>
      <c r="R23">
        <f t="shared" si="1"/>
        <v>10.492356964389485</v>
      </c>
      <c r="S23">
        <f t="shared" si="2"/>
        <v>0.91629073187415511</v>
      </c>
      <c r="T23">
        <f t="shared" si="2"/>
        <v>8.3101690219819115</v>
      </c>
      <c r="U23">
        <f t="shared" si="2"/>
        <v>1.3837912309017721</v>
      </c>
      <c r="V23">
        <f t="shared" si="2"/>
        <v>8.7207868834857312</v>
      </c>
      <c r="W23">
        <f t="shared" si="3"/>
        <v>1.3837912309017721</v>
      </c>
      <c r="X23">
        <f t="shared" si="3"/>
        <v>8.621733370690162</v>
      </c>
      <c r="Y23">
        <f t="shared" si="3"/>
        <v>0.91629073187415511</v>
      </c>
    </row>
    <row r="24" spans="1:25" x14ac:dyDescent="0.15">
      <c r="A24" s="1" t="s">
        <v>22</v>
      </c>
      <c r="B24" s="3">
        <v>5069</v>
      </c>
      <c r="C24" s="3">
        <v>4.99</v>
      </c>
      <c r="D24" s="3">
        <v>6367</v>
      </c>
      <c r="E24" s="3">
        <v>4.34</v>
      </c>
      <c r="F24" s="3">
        <v>28032</v>
      </c>
      <c r="G24" s="3">
        <v>2.48</v>
      </c>
      <c r="H24" s="3">
        <v>50236</v>
      </c>
      <c r="I24" s="3">
        <v>2.39</v>
      </c>
      <c r="J24" s="3">
        <v>7433</v>
      </c>
      <c r="K24" s="3">
        <v>4</v>
      </c>
      <c r="L24" s="3">
        <v>4292</v>
      </c>
      <c r="M24" s="3">
        <v>2.5</v>
      </c>
      <c r="N24">
        <f t="shared" si="1"/>
        <v>8.5308988384723499</v>
      </c>
      <c r="O24">
        <f t="shared" si="1"/>
        <v>1.6074359097634274</v>
      </c>
      <c r="P24">
        <f t="shared" si="1"/>
        <v>8.7588836800170249</v>
      </c>
      <c r="Q24">
        <f t="shared" si="1"/>
        <v>1.4678743481123135</v>
      </c>
      <c r="R24">
        <f t="shared" si="1"/>
        <v>10.241101993736118</v>
      </c>
      <c r="S24">
        <f t="shared" si="2"/>
        <v>0.90825856017689077</v>
      </c>
      <c r="T24">
        <f t="shared" si="2"/>
        <v>10.824487180138018</v>
      </c>
      <c r="U24">
        <f t="shared" si="2"/>
        <v>0.87129336594341933</v>
      </c>
      <c r="V24">
        <f t="shared" si="2"/>
        <v>8.9136848247252942</v>
      </c>
      <c r="W24">
        <f t="shared" si="3"/>
        <v>1.3862943611198906</v>
      </c>
      <c r="X24">
        <f t="shared" si="3"/>
        <v>8.3645081037505893</v>
      </c>
      <c r="Y24">
        <f t="shared" si="3"/>
        <v>0.91629073187415511</v>
      </c>
    </row>
    <row r="25" spans="1:25" x14ac:dyDescent="0.15">
      <c r="A25" s="1" t="s">
        <v>23</v>
      </c>
      <c r="B25" s="3">
        <v>4474</v>
      </c>
      <c r="C25" s="3">
        <v>4.99</v>
      </c>
      <c r="D25" s="3">
        <v>15326</v>
      </c>
      <c r="E25" s="3">
        <v>4.04</v>
      </c>
      <c r="F25" s="3">
        <v>56785</v>
      </c>
      <c r="G25" s="3">
        <v>2.2200000000000002</v>
      </c>
      <c r="H25" s="3">
        <v>4372</v>
      </c>
      <c r="I25" s="3">
        <v>3.98</v>
      </c>
      <c r="J25" s="3">
        <v>8159</v>
      </c>
      <c r="K25" s="3">
        <v>4</v>
      </c>
      <c r="L25" s="3">
        <v>7088</v>
      </c>
      <c r="M25" s="3">
        <v>2.5</v>
      </c>
      <c r="N25">
        <f t="shared" si="1"/>
        <v>8.4060381420500754</v>
      </c>
      <c r="O25">
        <f t="shared" si="1"/>
        <v>1.6074359097634274</v>
      </c>
      <c r="P25">
        <f t="shared" si="1"/>
        <v>9.6373060115303488</v>
      </c>
      <c r="Q25">
        <f t="shared" si="1"/>
        <v>1.3962446919730587</v>
      </c>
      <c r="R25">
        <f t="shared" si="1"/>
        <v>10.947027485325746</v>
      </c>
      <c r="S25">
        <f t="shared" si="2"/>
        <v>0.79750719588418817</v>
      </c>
      <c r="T25">
        <f t="shared" si="2"/>
        <v>8.3829758492964288</v>
      </c>
      <c r="U25">
        <f t="shared" si="2"/>
        <v>1.3812818192963463</v>
      </c>
      <c r="V25">
        <f t="shared" si="2"/>
        <v>9.0068768914287993</v>
      </c>
      <c r="W25">
        <f t="shared" si="3"/>
        <v>1.3862943611198906</v>
      </c>
      <c r="X25">
        <f t="shared" si="3"/>
        <v>8.8661584922849173</v>
      </c>
      <c r="Y25">
        <f t="shared" si="3"/>
        <v>0.91629073187415511</v>
      </c>
    </row>
    <row r="26" spans="1:25" x14ac:dyDescent="0.15">
      <c r="A26" s="1" t="s">
        <v>24</v>
      </c>
      <c r="B26" s="3">
        <v>4825</v>
      </c>
      <c r="C26" s="3">
        <v>4.9800000000000004</v>
      </c>
      <c r="D26" s="3">
        <v>11215</v>
      </c>
      <c r="E26" s="3">
        <v>4.04</v>
      </c>
      <c r="F26" s="3">
        <v>30113</v>
      </c>
      <c r="G26" s="3">
        <v>2.4900000000000002</v>
      </c>
      <c r="H26" s="3">
        <v>4791</v>
      </c>
      <c r="I26" s="3">
        <v>4</v>
      </c>
      <c r="J26" s="3">
        <v>8851</v>
      </c>
      <c r="K26" s="3">
        <v>4</v>
      </c>
      <c r="L26" s="3">
        <v>13047</v>
      </c>
      <c r="M26" s="3">
        <v>2.5</v>
      </c>
      <c r="N26">
        <f t="shared" si="1"/>
        <v>8.4815660137730866</v>
      </c>
      <c r="O26">
        <f t="shared" si="1"/>
        <v>1.6054298910365616</v>
      </c>
      <c r="P26">
        <f t="shared" si="1"/>
        <v>9.3250074469543094</v>
      </c>
      <c r="Q26">
        <f t="shared" si="1"/>
        <v>1.3962446919730587</v>
      </c>
      <c r="R26">
        <f t="shared" si="1"/>
        <v>10.312712251185442</v>
      </c>
      <c r="S26">
        <f t="shared" si="2"/>
        <v>0.91228271047661635</v>
      </c>
      <c r="T26">
        <f t="shared" si="2"/>
        <v>8.4744944368831217</v>
      </c>
      <c r="U26">
        <f t="shared" si="2"/>
        <v>1.3862943611198906</v>
      </c>
      <c r="V26">
        <f t="shared" si="2"/>
        <v>9.088285725968877</v>
      </c>
      <c r="W26">
        <f t="shared" si="3"/>
        <v>1.3862943611198906</v>
      </c>
      <c r="X26">
        <f t="shared" si="3"/>
        <v>9.4763135012657482</v>
      </c>
      <c r="Y26">
        <f t="shared" si="3"/>
        <v>0.91629073187415511</v>
      </c>
    </row>
    <row r="27" spans="1:25" x14ac:dyDescent="0.15">
      <c r="A27" s="1" t="s">
        <v>25</v>
      </c>
      <c r="B27" s="3">
        <v>10382</v>
      </c>
      <c r="C27" s="3">
        <v>4.5</v>
      </c>
      <c r="D27" s="3">
        <v>1508</v>
      </c>
      <c r="E27" s="3">
        <v>4.99</v>
      </c>
      <c r="F27" s="3">
        <v>26853</v>
      </c>
      <c r="G27" s="3">
        <v>2.5</v>
      </c>
      <c r="H27" s="3">
        <v>15388</v>
      </c>
      <c r="I27" s="3">
        <v>3.33</v>
      </c>
      <c r="J27" s="3">
        <v>7207</v>
      </c>
      <c r="K27" s="3">
        <v>4</v>
      </c>
      <c r="L27" s="3">
        <v>6265</v>
      </c>
      <c r="M27" s="3">
        <v>2.5</v>
      </c>
      <c r="N27">
        <f t="shared" si="1"/>
        <v>9.2478288163871749</v>
      </c>
      <c r="O27">
        <f t="shared" si="1"/>
        <v>1.5040773967762742</v>
      </c>
      <c r="P27">
        <f t="shared" si="1"/>
        <v>7.3185395485679017</v>
      </c>
      <c r="Q27">
        <f t="shared" si="1"/>
        <v>1.6074359097634274</v>
      </c>
      <c r="R27">
        <f t="shared" si="1"/>
        <v>10.198132825539048</v>
      </c>
      <c r="S27">
        <f t="shared" si="2"/>
        <v>0.91629073187415511</v>
      </c>
      <c r="T27">
        <f t="shared" si="2"/>
        <v>9.6413432638721854</v>
      </c>
      <c r="U27">
        <f t="shared" si="2"/>
        <v>1.2029723039923526</v>
      </c>
      <c r="V27">
        <f t="shared" si="2"/>
        <v>8.8828080549244408</v>
      </c>
      <c r="W27">
        <f t="shared" si="3"/>
        <v>1.3862943611198906</v>
      </c>
      <c r="X27">
        <f t="shared" si="3"/>
        <v>8.742733867330168</v>
      </c>
      <c r="Y27">
        <f t="shared" si="3"/>
        <v>0.91629073187415511</v>
      </c>
    </row>
    <row r="28" spans="1:25" x14ac:dyDescent="0.15">
      <c r="A28" s="1" t="s">
        <v>26</v>
      </c>
      <c r="B28" s="3">
        <v>5693</v>
      </c>
      <c r="C28" s="3">
        <v>4.97</v>
      </c>
      <c r="D28" s="3">
        <v>1996</v>
      </c>
      <c r="E28" s="3">
        <v>4.99</v>
      </c>
      <c r="F28" s="3">
        <v>16477</v>
      </c>
      <c r="G28" s="3">
        <v>2.86</v>
      </c>
      <c r="H28" s="3">
        <v>4825</v>
      </c>
      <c r="I28" s="3">
        <v>3.98</v>
      </c>
      <c r="J28" s="3">
        <v>24330</v>
      </c>
      <c r="K28" s="3">
        <v>3.33</v>
      </c>
      <c r="L28" s="3">
        <v>6407</v>
      </c>
      <c r="M28" s="3">
        <v>2.5</v>
      </c>
      <c r="N28">
        <f t="shared" si="1"/>
        <v>8.6469926289510823</v>
      </c>
      <c r="O28">
        <f t="shared" si="1"/>
        <v>1.6034198401085373</v>
      </c>
      <c r="P28">
        <f t="shared" si="1"/>
        <v>7.5989004568714096</v>
      </c>
      <c r="Q28">
        <f t="shared" si="1"/>
        <v>1.6074359097634274</v>
      </c>
      <c r="R28">
        <f t="shared" si="1"/>
        <v>9.7097207480574319</v>
      </c>
      <c r="S28">
        <f t="shared" si="2"/>
        <v>1.0508216248317612</v>
      </c>
      <c r="T28">
        <f t="shared" si="2"/>
        <v>8.4815660137730866</v>
      </c>
      <c r="U28">
        <f t="shared" si="2"/>
        <v>1.3812818192963463</v>
      </c>
      <c r="V28">
        <f t="shared" si="2"/>
        <v>10.099465435777569</v>
      </c>
      <c r="W28">
        <f t="shared" si="3"/>
        <v>1.2029723039923526</v>
      </c>
      <c r="X28">
        <f t="shared" si="3"/>
        <v>8.765146421639022</v>
      </c>
      <c r="Y28">
        <f t="shared" si="3"/>
        <v>0.91629073187415511</v>
      </c>
    </row>
    <row r="29" spans="1:25" x14ac:dyDescent="0.15">
      <c r="A29" s="1" t="s">
        <v>27</v>
      </c>
      <c r="B29" s="3">
        <v>5659</v>
      </c>
      <c r="C29" s="3">
        <v>4.9800000000000004</v>
      </c>
      <c r="D29" s="3">
        <v>1814</v>
      </c>
      <c r="E29" s="3">
        <v>4.99</v>
      </c>
      <c r="F29" s="3">
        <v>58747</v>
      </c>
      <c r="G29" s="3">
        <v>2.25</v>
      </c>
      <c r="H29" s="3">
        <v>5262</v>
      </c>
      <c r="I29" s="3">
        <v>4</v>
      </c>
      <c r="J29" s="3">
        <v>7405</v>
      </c>
      <c r="K29" s="3">
        <v>4.4000000000000004</v>
      </c>
      <c r="L29" s="3">
        <v>7178</v>
      </c>
      <c r="M29" s="3">
        <v>2.5</v>
      </c>
      <c r="N29">
        <f t="shared" si="1"/>
        <v>8.6410024771425231</v>
      </c>
      <c r="O29">
        <f t="shared" si="1"/>
        <v>1.6054298910365616</v>
      </c>
      <c r="P29">
        <f t="shared" si="1"/>
        <v>7.5032896306750816</v>
      </c>
      <c r="Q29">
        <f t="shared" si="1"/>
        <v>1.6074359097634274</v>
      </c>
      <c r="R29">
        <f t="shared" si="1"/>
        <v>10.980995366872817</v>
      </c>
      <c r="S29">
        <f t="shared" si="2"/>
        <v>0.81093021621632877</v>
      </c>
      <c r="T29">
        <f t="shared" si="2"/>
        <v>8.5682664616002384</v>
      </c>
      <c r="U29">
        <f t="shared" si="2"/>
        <v>1.3862943611198906</v>
      </c>
      <c r="V29">
        <f t="shared" si="2"/>
        <v>8.9099107267018987</v>
      </c>
      <c r="W29">
        <f t="shared" si="3"/>
        <v>1.4816045409242156</v>
      </c>
      <c r="X29">
        <f t="shared" si="3"/>
        <v>8.8787760717075521</v>
      </c>
      <c r="Y29">
        <f t="shared" si="3"/>
        <v>0.91629073187415511</v>
      </c>
    </row>
    <row r="30" spans="1:25" x14ac:dyDescent="0.15">
      <c r="A30" s="1" t="s">
        <v>28</v>
      </c>
      <c r="B30" s="3">
        <v>5558</v>
      </c>
      <c r="C30" s="3">
        <v>4.99</v>
      </c>
      <c r="D30" s="3">
        <v>1996</v>
      </c>
      <c r="E30" s="3">
        <v>4.99</v>
      </c>
      <c r="F30" s="3">
        <v>21180</v>
      </c>
      <c r="G30" s="3">
        <v>2.96</v>
      </c>
      <c r="H30" s="3">
        <v>9982</v>
      </c>
      <c r="I30" s="3">
        <v>4</v>
      </c>
      <c r="J30" s="3">
        <v>8654</v>
      </c>
      <c r="K30" s="3">
        <v>4.43</v>
      </c>
      <c r="L30" s="3">
        <v>8312</v>
      </c>
      <c r="M30" s="3">
        <v>2.5</v>
      </c>
      <c r="N30">
        <f t="shared" si="1"/>
        <v>8.6229936103024496</v>
      </c>
      <c r="O30">
        <f t="shared" si="1"/>
        <v>1.6074359097634274</v>
      </c>
      <c r="P30">
        <f t="shared" si="1"/>
        <v>7.5989004568714096</v>
      </c>
      <c r="Q30">
        <f t="shared" si="1"/>
        <v>1.6074359097634274</v>
      </c>
      <c r="R30">
        <f t="shared" si="1"/>
        <v>9.9608126191553978</v>
      </c>
      <c r="S30">
        <f t="shared" si="2"/>
        <v>1.085189268335969</v>
      </c>
      <c r="T30">
        <f t="shared" si="2"/>
        <v>9.2085387500295539</v>
      </c>
      <c r="U30">
        <f t="shared" si="2"/>
        <v>1.3862943611198906</v>
      </c>
      <c r="V30">
        <f t="shared" si="2"/>
        <v>9.0657769207848293</v>
      </c>
      <c r="W30">
        <f t="shared" si="3"/>
        <v>1.4883995840570443</v>
      </c>
      <c r="X30">
        <f t="shared" si="3"/>
        <v>9.0254555327790627</v>
      </c>
      <c r="Y30">
        <f t="shared" si="3"/>
        <v>0.91629073187415511</v>
      </c>
    </row>
    <row r="31" spans="1:25" x14ac:dyDescent="0.15">
      <c r="A31" s="1" t="s">
        <v>29</v>
      </c>
      <c r="B31" s="3">
        <v>8826</v>
      </c>
      <c r="C31" s="3">
        <v>4.79</v>
      </c>
      <c r="D31" s="3">
        <v>2190</v>
      </c>
      <c r="E31" s="3">
        <v>4.99</v>
      </c>
      <c r="F31" s="3">
        <v>19549</v>
      </c>
      <c r="G31" s="3">
        <v>3</v>
      </c>
      <c r="H31" s="3">
        <v>5668</v>
      </c>
      <c r="I31" s="3">
        <v>4</v>
      </c>
      <c r="J31" s="3">
        <v>29469</v>
      </c>
      <c r="K31" s="3">
        <v>3.33</v>
      </c>
      <c r="L31" s="3">
        <v>8013</v>
      </c>
      <c r="M31" s="3">
        <v>2.5</v>
      </c>
      <c r="N31">
        <f t="shared" si="1"/>
        <v>9.0854571898294925</v>
      </c>
      <c r="O31">
        <f t="shared" si="1"/>
        <v>1.5665304114228238</v>
      </c>
      <c r="P31">
        <f t="shared" si="1"/>
        <v>7.6916568228105469</v>
      </c>
      <c r="Q31">
        <f t="shared" si="1"/>
        <v>1.6074359097634274</v>
      </c>
      <c r="R31">
        <f t="shared" si="1"/>
        <v>9.8806794132101192</v>
      </c>
      <c r="S31">
        <f t="shared" si="2"/>
        <v>1.0986122886681098</v>
      </c>
      <c r="T31">
        <f t="shared" si="2"/>
        <v>8.6425916008105705</v>
      </c>
      <c r="U31">
        <f t="shared" si="2"/>
        <v>1.3862943611198906</v>
      </c>
      <c r="V31">
        <f t="shared" si="2"/>
        <v>10.291094142342979</v>
      </c>
      <c r="W31">
        <f t="shared" si="3"/>
        <v>1.2029723039923526</v>
      </c>
      <c r="X31">
        <f t="shared" si="3"/>
        <v>8.9888205017780702</v>
      </c>
      <c r="Y31">
        <f t="shared" si="3"/>
        <v>0.91629073187415511</v>
      </c>
    </row>
    <row r="32" spans="1:25" x14ac:dyDescent="0.15">
      <c r="A32" s="1" t="s">
        <v>30</v>
      </c>
      <c r="B32" s="3">
        <v>14765</v>
      </c>
      <c r="C32" s="3">
        <v>4.53</v>
      </c>
      <c r="D32" s="3">
        <v>1985</v>
      </c>
      <c r="E32" s="3">
        <v>4.99</v>
      </c>
      <c r="F32" s="3">
        <v>50599</v>
      </c>
      <c r="G32" s="3">
        <v>2.25</v>
      </c>
      <c r="H32" s="3">
        <v>5032</v>
      </c>
      <c r="I32" s="3">
        <v>4.3499999999999996</v>
      </c>
      <c r="J32" s="3">
        <v>9047</v>
      </c>
      <c r="K32" s="3">
        <v>4.3499999999999996</v>
      </c>
      <c r="L32" s="3">
        <v>6802</v>
      </c>
      <c r="M32" s="3">
        <v>2.5</v>
      </c>
      <c r="N32">
        <f t="shared" si="1"/>
        <v>9.6000147941780227</v>
      </c>
      <c r="O32">
        <f t="shared" si="1"/>
        <v>1.5107219394949427</v>
      </c>
      <c r="P32">
        <f t="shared" si="1"/>
        <v>7.5933741931212904</v>
      </c>
      <c r="Q32">
        <f t="shared" si="1"/>
        <v>1.6074359097634274</v>
      </c>
      <c r="R32">
        <f t="shared" si="1"/>
        <v>10.83168709223442</v>
      </c>
      <c r="S32">
        <f t="shared" si="2"/>
        <v>0.81093021621632877</v>
      </c>
      <c r="T32">
        <f t="shared" si="2"/>
        <v>8.5235727983802771</v>
      </c>
      <c r="U32">
        <f t="shared" si="2"/>
        <v>1.4701758451005926</v>
      </c>
      <c r="V32">
        <f t="shared" si="2"/>
        <v>9.1101884900257417</v>
      </c>
      <c r="W32">
        <f t="shared" si="3"/>
        <v>1.4701758451005926</v>
      </c>
      <c r="X32">
        <f t="shared" si="3"/>
        <v>8.8249719655671406</v>
      </c>
      <c r="Y32">
        <f t="shared" si="3"/>
        <v>0.91629073187415511</v>
      </c>
    </row>
    <row r="33" spans="1:25" x14ac:dyDescent="0.15">
      <c r="A33" s="1" t="s">
        <v>31</v>
      </c>
      <c r="B33" s="3">
        <v>11746</v>
      </c>
      <c r="C33" s="3">
        <v>4.54</v>
      </c>
      <c r="D33" s="3">
        <v>1803</v>
      </c>
      <c r="E33" s="3">
        <v>4.99</v>
      </c>
      <c r="F33" s="3">
        <v>19615</v>
      </c>
      <c r="G33" s="3">
        <v>2.96</v>
      </c>
      <c r="H33" s="3">
        <v>4485</v>
      </c>
      <c r="I33" s="3">
        <v>4.4400000000000004</v>
      </c>
      <c r="J33" s="3">
        <v>8052</v>
      </c>
      <c r="K33" s="3">
        <v>4.4400000000000004</v>
      </c>
      <c r="L33" s="3">
        <v>6929</v>
      </c>
      <c r="M33" s="3">
        <v>2.5</v>
      </c>
      <c r="N33">
        <f t="shared" si="1"/>
        <v>9.3712680360824656</v>
      </c>
      <c r="O33">
        <f t="shared" si="1"/>
        <v>1.5129270120532565</v>
      </c>
      <c r="P33">
        <f t="shared" si="1"/>
        <v>7.4972072232033176</v>
      </c>
      <c r="Q33">
        <f t="shared" si="1"/>
        <v>1.6074359097634274</v>
      </c>
      <c r="R33">
        <f t="shared" si="1"/>
        <v>9.8840498586436532</v>
      </c>
      <c r="S33">
        <f t="shared" si="2"/>
        <v>1.085189268335969</v>
      </c>
      <c r="T33">
        <f t="shared" si="2"/>
        <v>8.4084937744928965</v>
      </c>
      <c r="U33">
        <f t="shared" si="2"/>
        <v>1.4906543764441336</v>
      </c>
      <c r="V33">
        <f t="shared" si="2"/>
        <v>8.9936757867596828</v>
      </c>
      <c r="W33">
        <f t="shared" si="3"/>
        <v>1.4906543764441336</v>
      </c>
      <c r="X33">
        <f t="shared" si="3"/>
        <v>8.8434707816273814</v>
      </c>
      <c r="Y33">
        <f t="shared" si="3"/>
        <v>0.91629073187415511</v>
      </c>
    </row>
    <row r="34" spans="1:25" x14ac:dyDescent="0.15">
      <c r="A34" s="1" t="s">
        <v>32</v>
      </c>
      <c r="B34" s="3">
        <v>5137</v>
      </c>
      <c r="C34" s="3">
        <v>4.9800000000000004</v>
      </c>
      <c r="D34" s="3">
        <v>5270</v>
      </c>
      <c r="E34" s="3">
        <v>4.1500000000000004</v>
      </c>
      <c r="F34" s="3">
        <v>23729</v>
      </c>
      <c r="G34" s="3">
        <v>3</v>
      </c>
      <c r="H34" s="3">
        <v>4623</v>
      </c>
      <c r="I34" s="3">
        <v>4.4400000000000004</v>
      </c>
      <c r="J34" s="3">
        <v>8588</v>
      </c>
      <c r="K34" s="3">
        <v>4.4400000000000004</v>
      </c>
      <c r="L34" s="3">
        <v>8240</v>
      </c>
      <c r="M34" s="3">
        <v>2.5</v>
      </c>
      <c r="N34">
        <f t="shared" si="1"/>
        <v>8.5442245304672682</v>
      </c>
      <c r="O34">
        <f t="shared" si="1"/>
        <v>1.6054298910365616</v>
      </c>
      <c r="P34">
        <f t="shared" si="1"/>
        <v>8.5697856415354074</v>
      </c>
      <c r="Q34">
        <f t="shared" si="1"/>
        <v>1.423108334242607</v>
      </c>
      <c r="R34">
        <f t="shared" si="1"/>
        <v>10.074453207791757</v>
      </c>
      <c r="S34">
        <f t="shared" si="2"/>
        <v>1.0986122886681098</v>
      </c>
      <c r="T34">
        <f t="shared" si="2"/>
        <v>8.4387991239882254</v>
      </c>
      <c r="U34">
        <f t="shared" si="2"/>
        <v>1.4906543764441336</v>
      </c>
      <c r="V34">
        <f t="shared" si="2"/>
        <v>9.0581211589986719</v>
      </c>
      <c r="W34">
        <f t="shared" si="3"/>
        <v>1.4906543764441336</v>
      </c>
      <c r="X34">
        <f t="shared" si="3"/>
        <v>9.0167556229035171</v>
      </c>
      <c r="Y34">
        <f t="shared" si="3"/>
        <v>0.91629073187415511</v>
      </c>
    </row>
    <row r="35" spans="1:25" x14ac:dyDescent="0.15">
      <c r="A35" s="1" t="s">
        <v>33</v>
      </c>
      <c r="B35" s="3">
        <v>4795</v>
      </c>
      <c r="C35" s="3">
        <v>4.99</v>
      </c>
      <c r="D35" s="3">
        <v>2002</v>
      </c>
      <c r="E35" s="3">
        <v>4.93</v>
      </c>
      <c r="F35" s="3">
        <v>121063</v>
      </c>
      <c r="G35" s="3">
        <v>2</v>
      </c>
      <c r="H35" s="3">
        <v>4684</v>
      </c>
      <c r="I35" s="3">
        <v>4.4400000000000004</v>
      </c>
      <c r="J35" s="3">
        <v>6741</v>
      </c>
      <c r="K35" s="3">
        <v>4.4400000000000004</v>
      </c>
      <c r="L35" s="3">
        <v>6254</v>
      </c>
      <c r="M35" s="3">
        <v>2.5</v>
      </c>
      <c r="N35">
        <f t="shared" si="1"/>
        <v>8.475328987317539</v>
      </c>
      <c r="O35">
        <f t="shared" si="1"/>
        <v>1.6074359097634274</v>
      </c>
      <c r="P35">
        <f t="shared" si="1"/>
        <v>7.6019019598751658</v>
      </c>
      <c r="Q35">
        <f t="shared" si="1"/>
        <v>1.5953389880545987</v>
      </c>
      <c r="R35">
        <f t="shared" si="1"/>
        <v>11.704066350238913</v>
      </c>
      <c r="S35">
        <f t="shared" si="2"/>
        <v>0.69314718055994529</v>
      </c>
      <c r="T35">
        <f t="shared" si="2"/>
        <v>8.4519077247176071</v>
      </c>
      <c r="U35">
        <f t="shared" si="2"/>
        <v>1.4906543764441336</v>
      </c>
      <c r="V35">
        <f t="shared" si="2"/>
        <v>8.8159635608534384</v>
      </c>
      <c r="W35">
        <f t="shared" si="3"/>
        <v>1.4906543764441336</v>
      </c>
      <c r="X35">
        <f t="shared" si="3"/>
        <v>8.7409765380177866</v>
      </c>
      <c r="Y35">
        <f t="shared" si="3"/>
        <v>0.91629073187415511</v>
      </c>
    </row>
    <row r="36" spans="1:25" x14ac:dyDescent="0.15">
      <c r="A36" s="1" t="s">
        <v>34</v>
      </c>
      <c r="B36" s="3">
        <v>5016</v>
      </c>
      <c r="C36" s="3">
        <v>4.99</v>
      </c>
      <c r="D36" s="3">
        <v>2085</v>
      </c>
      <c r="E36" s="3">
        <v>4.99</v>
      </c>
      <c r="F36" s="3">
        <v>22640</v>
      </c>
      <c r="G36" s="3">
        <v>2.87</v>
      </c>
      <c r="H36" s="3">
        <v>21241</v>
      </c>
      <c r="I36" s="3">
        <v>3.34</v>
      </c>
      <c r="J36" s="3">
        <v>7924</v>
      </c>
      <c r="K36" s="3">
        <v>4.4400000000000004</v>
      </c>
      <c r="L36" s="3">
        <v>7244</v>
      </c>
      <c r="M36" s="3">
        <v>2.5</v>
      </c>
      <c r="N36">
        <f t="shared" si="1"/>
        <v>8.5203880823127562</v>
      </c>
      <c r="O36">
        <f t="shared" si="1"/>
        <v>1.6074359097634274</v>
      </c>
      <c r="P36">
        <f t="shared" si="1"/>
        <v>7.642524134232902</v>
      </c>
      <c r="Q36">
        <f t="shared" si="1"/>
        <v>1.6074359097634274</v>
      </c>
      <c r="R36">
        <f t="shared" si="1"/>
        <v>10.027473532317119</v>
      </c>
      <c r="S36">
        <f t="shared" si="2"/>
        <v>1.0543120297715298</v>
      </c>
      <c r="T36">
        <f t="shared" si="2"/>
        <v>9.9636885552268843</v>
      </c>
      <c r="U36">
        <f t="shared" si="2"/>
        <v>1.205970806988609</v>
      </c>
      <c r="V36">
        <f t="shared" si="2"/>
        <v>8.977651407818442</v>
      </c>
      <c r="W36">
        <f t="shared" si="3"/>
        <v>1.4906543764441336</v>
      </c>
      <c r="X36">
        <f t="shared" si="3"/>
        <v>8.8879288190033048</v>
      </c>
      <c r="Y36">
        <f t="shared" si="3"/>
        <v>0.91629073187415511</v>
      </c>
    </row>
    <row r="37" spans="1:25" x14ac:dyDescent="0.15">
      <c r="A37" s="1" t="s">
        <v>35</v>
      </c>
      <c r="B37" s="3">
        <v>4927</v>
      </c>
      <c r="C37" s="3">
        <v>4.99</v>
      </c>
      <c r="D37" s="3">
        <v>9689</v>
      </c>
      <c r="E37" s="3">
        <v>4.79</v>
      </c>
      <c r="F37" s="3">
        <v>18868</v>
      </c>
      <c r="G37" s="3">
        <v>3</v>
      </c>
      <c r="H37" s="3">
        <v>4734</v>
      </c>
      <c r="I37" s="3">
        <v>4.25</v>
      </c>
      <c r="J37" s="3">
        <v>26765</v>
      </c>
      <c r="K37" s="3">
        <v>3.33</v>
      </c>
      <c r="L37" s="3">
        <v>7554</v>
      </c>
      <c r="M37" s="3">
        <v>2.5</v>
      </c>
      <c r="N37">
        <f t="shared" si="1"/>
        <v>8.5024855625439635</v>
      </c>
      <c r="O37">
        <f t="shared" si="1"/>
        <v>1.6074359097634274</v>
      </c>
      <c r="P37">
        <f t="shared" si="1"/>
        <v>9.1787465003850048</v>
      </c>
      <c r="Q37">
        <f t="shared" si="1"/>
        <v>1.5665304114228238</v>
      </c>
      <c r="R37">
        <f t="shared" si="1"/>
        <v>9.8452226444041528</v>
      </c>
      <c r="S37">
        <f t="shared" si="2"/>
        <v>1.0986122886681098</v>
      </c>
      <c r="T37">
        <f t="shared" si="2"/>
        <v>8.4625257900739292</v>
      </c>
      <c r="U37">
        <f t="shared" si="2"/>
        <v>1.4469189829363254</v>
      </c>
      <c r="V37">
        <f t="shared" si="2"/>
        <v>10.194850342827481</v>
      </c>
      <c r="W37">
        <f t="shared" si="3"/>
        <v>1.2029723039923526</v>
      </c>
      <c r="X37">
        <f t="shared" si="3"/>
        <v>8.9298325032724026</v>
      </c>
      <c r="Y37">
        <f t="shared" si="3"/>
        <v>0.91629073187415511</v>
      </c>
    </row>
    <row r="38" spans="1:25" x14ac:dyDescent="0.15">
      <c r="A38" s="1" t="s">
        <v>36</v>
      </c>
      <c r="B38" s="3">
        <v>4374</v>
      </c>
      <c r="C38" s="3">
        <v>4.99</v>
      </c>
      <c r="D38" s="3">
        <v>23674</v>
      </c>
      <c r="E38" s="3">
        <v>2.91</v>
      </c>
      <c r="F38" s="3">
        <v>19808</v>
      </c>
      <c r="G38" s="3">
        <v>2.98</v>
      </c>
      <c r="H38" s="3">
        <v>13858</v>
      </c>
      <c r="I38" s="3">
        <v>3.33</v>
      </c>
      <c r="J38" s="3">
        <v>7554</v>
      </c>
      <c r="K38" s="3">
        <v>4.26</v>
      </c>
      <c r="L38" s="3">
        <v>6935</v>
      </c>
      <c r="M38" s="3">
        <v>2.5</v>
      </c>
      <c r="N38">
        <f t="shared" si="1"/>
        <v>8.3834332012367128</v>
      </c>
      <c r="O38">
        <f t="shared" si="1"/>
        <v>1.6074359097634274</v>
      </c>
      <c r="P38">
        <f t="shared" si="1"/>
        <v>10.072132678513839</v>
      </c>
      <c r="Q38">
        <f t="shared" si="1"/>
        <v>1.0681530811834012</v>
      </c>
      <c r="R38">
        <f t="shared" si="1"/>
        <v>9.8938411754843223</v>
      </c>
      <c r="S38">
        <f t="shared" si="2"/>
        <v>1.091923300517313</v>
      </c>
      <c r="T38">
        <f t="shared" si="2"/>
        <v>9.5366179621873268</v>
      </c>
      <c r="U38">
        <f t="shared" si="2"/>
        <v>1.2029723039923526</v>
      </c>
      <c r="V38">
        <f t="shared" si="2"/>
        <v>8.9298325032724026</v>
      </c>
      <c r="W38">
        <f t="shared" si="3"/>
        <v>1.4492691602812791</v>
      </c>
      <c r="X38">
        <f t="shared" si="3"/>
        <v>8.8443363327489326</v>
      </c>
      <c r="Y38">
        <f t="shared" si="3"/>
        <v>0.91629073187415511</v>
      </c>
    </row>
    <row r="39" spans="1:25" x14ac:dyDescent="0.15">
      <c r="A39" s="1" t="s">
        <v>37</v>
      </c>
      <c r="B39" s="3">
        <v>4374</v>
      </c>
      <c r="C39" s="3">
        <v>4.99</v>
      </c>
      <c r="D39" s="3">
        <v>21174</v>
      </c>
      <c r="E39" s="3">
        <v>2.6</v>
      </c>
      <c r="F39" s="3">
        <v>63036</v>
      </c>
      <c r="G39" s="3">
        <v>2.25</v>
      </c>
      <c r="H39" s="3">
        <v>5502</v>
      </c>
      <c r="I39" s="3">
        <v>4.2699999999999996</v>
      </c>
      <c r="J39" s="3">
        <v>7283</v>
      </c>
      <c r="K39" s="3">
        <v>4.42</v>
      </c>
      <c r="L39" s="3">
        <v>6077</v>
      </c>
      <c r="M39" s="3">
        <v>2.5</v>
      </c>
      <c r="N39">
        <f t="shared" si="1"/>
        <v>8.3834332012367128</v>
      </c>
      <c r="O39">
        <f t="shared" si="1"/>
        <v>1.6074359097634274</v>
      </c>
      <c r="P39">
        <f t="shared" si="1"/>
        <v>9.9605292929033258</v>
      </c>
      <c r="Q39">
        <f t="shared" si="1"/>
        <v>0.95551144502743635</v>
      </c>
      <c r="R39">
        <f t="shared" si="1"/>
        <v>11.051461270741962</v>
      </c>
      <c r="S39">
        <f t="shared" si="2"/>
        <v>0.81093021621632877</v>
      </c>
      <c r="T39">
        <f t="shared" si="2"/>
        <v>8.6128669414845191</v>
      </c>
      <c r="U39">
        <f t="shared" si="2"/>
        <v>1.451613827240533</v>
      </c>
      <c r="V39">
        <f t="shared" si="2"/>
        <v>8.8932981442179155</v>
      </c>
      <c r="W39">
        <f t="shared" si="3"/>
        <v>1.4861396960896067</v>
      </c>
      <c r="X39">
        <f t="shared" si="3"/>
        <v>8.7122664321353547</v>
      </c>
      <c r="Y39">
        <f t="shared" si="3"/>
        <v>0.91629073187415511</v>
      </c>
    </row>
    <row r="40" spans="1:25" x14ac:dyDescent="0.15">
      <c r="A40" s="1" t="s">
        <v>38</v>
      </c>
      <c r="B40" s="3">
        <v>5663</v>
      </c>
      <c r="C40" s="3">
        <v>4.99</v>
      </c>
      <c r="D40" s="3">
        <v>4142</v>
      </c>
      <c r="E40" s="3">
        <v>4.99</v>
      </c>
      <c r="F40" s="3">
        <v>22839</v>
      </c>
      <c r="G40" s="3">
        <v>2.95</v>
      </c>
      <c r="H40" s="3">
        <v>78382</v>
      </c>
      <c r="I40" s="3">
        <v>2.44</v>
      </c>
      <c r="J40" s="3">
        <v>7067</v>
      </c>
      <c r="K40" s="3">
        <v>4.42</v>
      </c>
      <c r="L40" s="3">
        <v>6221</v>
      </c>
      <c r="M40" s="3">
        <v>2.5</v>
      </c>
      <c r="N40">
        <f t="shared" si="1"/>
        <v>8.6417090661138047</v>
      </c>
      <c r="O40">
        <f t="shared" si="1"/>
        <v>1.6074359097634274</v>
      </c>
      <c r="P40">
        <f t="shared" si="1"/>
        <v>8.3289340419555291</v>
      </c>
      <c r="Q40">
        <f t="shared" si="1"/>
        <v>1.6074359097634274</v>
      </c>
      <c r="R40">
        <f t="shared" si="1"/>
        <v>10.036224879974322</v>
      </c>
      <c r="S40">
        <f t="shared" si="2"/>
        <v>1.0818051703517284</v>
      </c>
      <c r="T40">
        <f t="shared" si="2"/>
        <v>11.269349588141523</v>
      </c>
      <c r="U40">
        <f t="shared" si="2"/>
        <v>0.89199803930511046</v>
      </c>
      <c r="V40">
        <f t="shared" si="2"/>
        <v>8.8631913406908538</v>
      </c>
      <c r="W40">
        <f t="shared" si="3"/>
        <v>1.4861396960896067</v>
      </c>
      <c r="X40">
        <f t="shared" si="3"/>
        <v>8.7356859445150192</v>
      </c>
      <c r="Y40">
        <f t="shared" si="3"/>
        <v>0.91629073187415511</v>
      </c>
    </row>
    <row r="41" spans="1:25" x14ac:dyDescent="0.15">
      <c r="A41" s="1" t="s">
        <v>39</v>
      </c>
      <c r="B41" s="3">
        <v>5574</v>
      </c>
      <c r="C41" s="3">
        <v>4.99</v>
      </c>
      <c r="D41" s="3">
        <v>2975</v>
      </c>
      <c r="E41" s="3">
        <v>4.99</v>
      </c>
      <c r="F41" s="3">
        <v>17408</v>
      </c>
      <c r="G41" s="3">
        <v>3</v>
      </c>
      <c r="H41" s="3">
        <v>7963</v>
      </c>
      <c r="I41" s="3">
        <v>3.94</v>
      </c>
      <c r="J41" s="3">
        <v>7371</v>
      </c>
      <c r="K41" s="3">
        <v>4.43</v>
      </c>
      <c r="L41" s="3">
        <v>6022</v>
      </c>
      <c r="M41" s="3">
        <v>2.5</v>
      </c>
      <c r="N41">
        <f t="shared" si="1"/>
        <v>8.6258682080418936</v>
      </c>
      <c r="O41">
        <f t="shared" si="1"/>
        <v>1.6074359097634274</v>
      </c>
      <c r="P41">
        <f t="shared" si="1"/>
        <v>7.9979993179797297</v>
      </c>
      <c r="Q41">
        <f t="shared" si="1"/>
        <v>1.6074359097634274</v>
      </c>
      <c r="R41">
        <f t="shared" si="1"/>
        <v>9.7646851496556692</v>
      </c>
      <c r="S41">
        <f t="shared" si="2"/>
        <v>1.0986122886681098</v>
      </c>
      <c r="T41">
        <f t="shared" si="2"/>
        <v>8.9825610922574448</v>
      </c>
      <c r="U41">
        <f t="shared" si="2"/>
        <v>1.3711807233098425</v>
      </c>
      <c r="V41">
        <f t="shared" si="2"/>
        <v>8.905308661189288</v>
      </c>
      <c r="W41">
        <f t="shared" si="3"/>
        <v>1.4883995840570443</v>
      </c>
      <c r="X41">
        <f t="shared" si="3"/>
        <v>8.7031747090416793</v>
      </c>
      <c r="Y41">
        <f t="shared" si="3"/>
        <v>0.91629073187415511</v>
      </c>
    </row>
    <row r="42" spans="1:25" x14ac:dyDescent="0.15">
      <c r="A42" s="1" t="s">
        <v>40</v>
      </c>
      <c r="B42" s="3">
        <v>4076</v>
      </c>
      <c r="C42" s="3">
        <v>5.58</v>
      </c>
      <c r="D42" s="3">
        <v>3423</v>
      </c>
      <c r="E42" s="3">
        <v>4.99</v>
      </c>
      <c r="F42" s="3">
        <v>22070</v>
      </c>
      <c r="G42" s="3">
        <v>3</v>
      </c>
      <c r="H42" s="3">
        <v>6841</v>
      </c>
      <c r="I42" s="3">
        <v>4.32</v>
      </c>
      <c r="J42" s="3">
        <v>8090</v>
      </c>
      <c r="K42" s="3">
        <v>4.43</v>
      </c>
      <c r="L42" s="3">
        <v>8002</v>
      </c>
      <c r="M42" s="3">
        <v>2.5</v>
      </c>
      <c r="N42">
        <f t="shared" si="1"/>
        <v>8.3128713943426149</v>
      </c>
      <c r="O42">
        <f t="shared" si="1"/>
        <v>1.7191887763932197</v>
      </c>
      <c r="P42">
        <f t="shared" si="1"/>
        <v>8.1382726385301858</v>
      </c>
      <c r="Q42">
        <f t="shared" si="1"/>
        <v>1.6074359097634274</v>
      </c>
      <c r="R42">
        <f t="shared" si="1"/>
        <v>10.001974499250782</v>
      </c>
      <c r="S42">
        <f t="shared" si="2"/>
        <v>1.0986122886681098</v>
      </c>
      <c r="T42">
        <f t="shared" si="2"/>
        <v>8.8306891987609983</v>
      </c>
      <c r="U42">
        <f t="shared" si="2"/>
        <v>1.4632554022560189</v>
      </c>
      <c r="V42">
        <f t="shared" si="2"/>
        <v>8.9983840100525381</v>
      </c>
      <c r="W42">
        <f t="shared" si="3"/>
        <v>1.4883995840570443</v>
      </c>
      <c r="X42">
        <f t="shared" si="3"/>
        <v>8.9874467894171808</v>
      </c>
      <c r="Y42">
        <f t="shared" si="3"/>
        <v>0.91629073187415511</v>
      </c>
    </row>
    <row r="43" spans="1:25" x14ac:dyDescent="0.15">
      <c r="A43" s="1" t="s">
        <v>41</v>
      </c>
      <c r="B43" s="3">
        <v>3755</v>
      </c>
      <c r="C43" s="3">
        <v>5.85</v>
      </c>
      <c r="D43" s="3">
        <v>3932</v>
      </c>
      <c r="E43" s="3">
        <v>4.99</v>
      </c>
      <c r="F43" s="3">
        <v>23790</v>
      </c>
      <c r="G43" s="3">
        <v>3</v>
      </c>
      <c r="H43" s="3">
        <v>28574</v>
      </c>
      <c r="I43" s="3">
        <v>3.32</v>
      </c>
      <c r="J43" s="3">
        <v>7819</v>
      </c>
      <c r="K43" s="3">
        <v>4.43</v>
      </c>
      <c r="L43" s="3">
        <v>15224</v>
      </c>
      <c r="M43" s="3">
        <v>2.5</v>
      </c>
      <c r="N43">
        <f t="shared" si="1"/>
        <v>8.2308435641982349</v>
      </c>
      <c r="O43">
        <f t="shared" si="1"/>
        <v>1.766441661243765</v>
      </c>
      <c r="P43">
        <f t="shared" si="1"/>
        <v>8.2769034812670572</v>
      </c>
      <c r="Q43">
        <f t="shared" si="1"/>
        <v>1.6074359097634274</v>
      </c>
      <c r="R43">
        <f t="shared" si="1"/>
        <v>10.077020603297003</v>
      </c>
      <c r="S43">
        <f t="shared" si="2"/>
        <v>1.0986122886681098</v>
      </c>
      <c r="T43">
        <f t="shared" si="2"/>
        <v>10.260252492425103</v>
      </c>
      <c r="U43">
        <f t="shared" si="2"/>
        <v>1.199964782928397</v>
      </c>
      <c r="V43">
        <f t="shared" si="2"/>
        <v>8.9643119481245144</v>
      </c>
      <c r="W43">
        <f t="shared" si="3"/>
        <v>1.4883995840570443</v>
      </c>
      <c r="X43">
        <f t="shared" si="3"/>
        <v>9.6306284089759853</v>
      </c>
      <c r="Y43">
        <f t="shared" si="3"/>
        <v>0.91629073187415511</v>
      </c>
    </row>
    <row r="44" spans="1:25" x14ac:dyDescent="0.15">
      <c r="A44" s="1" t="s">
        <v>42</v>
      </c>
      <c r="B44" s="3">
        <v>6310</v>
      </c>
      <c r="C44" s="3">
        <v>5.38</v>
      </c>
      <c r="D44" s="3">
        <v>3053</v>
      </c>
      <c r="E44" s="3">
        <v>4.9800000000000004</v>
      </c>
      <c r="F44" s="3">
        <v>52762</v>
      </c>
      <c r="G44" s="3">
        <v>2.2599999999999998</v>
      </c>
      <c r="H44" s="3">
        <v>6503</v>
      </c>
      <c r="I44" s="3">
        <v>4.25</v>
      </c>
      <c r="J44" s="3">
        <v>7051</v>
      </c>
      <c r="K44" s="3">
        <v>4.43</v>
      </c>
      <c r="L44" s="3">
        <v>6774</v>
      </c>
      <c r="M44" s="3">
        <v>2.5</v>
      </c>
      <c r="N44">
        <f t="shared" si="1"/>
        <v>8.7498909555352586</v>
      </c>
      <c r="O44">
        <f t="shared" si="1"/>
        <v>1.6826883741736931</v>
      </c>
      <c r="P44">
        <f t="shared" si="1"/>
        <v>8.0238799927348783</v>
      </c>
      <c r="Q44">
        <f t="shared" si="1"/>
        <v>1.6054298910365616</v>
      </c>
      <c r="R44">
        <f t="shared" si="1"/>
        <v>10.873546513618466</v>
      </c>
      <c r="S44">
        <f t="shared" si="2"/>
        <v>0.81536481328419441</v>
      </c>
      <c r="T44">
        <f t="shared" si="2"/>
        <v>8.7800188878691525</v>
      </c>
      <c r="U44">
        <f t="shared" si="2"/>
        <v>1.4469189829363254</v>
      </c>
      <c r="V44">
        <f t="shared" si="2"/>
        <v>8.8609247297190414</v>
      </c>
      <c r="W44">
        <f t="shared" si="3"/>
        <v>1.4883995840570443</v>
      </c>
      <c r="X44">
        <f t="shared" si="3"/>
        <v>8.8208470333777171</v>
      </c>
      <c r="Y44">
        <f t="shared" si="3"/>
        <v>0.91629073187415511</v>
      </c>
    </row>
    <row r="45" spans="1:25" x14ac:dyDescent="0.15">
      <c r="A45" s="1" t="s">
        <v>43</v>
      </c>
      <c r="B45" s="3">
        <v>14323</v>
      </c>
      <c r="C45" s="3">
        <v>4.21</v>
      </c>
      <c r="D45" s="3">
        <v>2212</v>
      </c>
      <c r="E45" s="3">
        <v>4.99</v>
      </c>
      <c r="F45" s="3">
        <v>19410</v>
      </c>
      <c r="G45" s="3">
        <v>2.91</v>
      </c>
      <c r="H45" s="3">
        <v>5298</v>
      </c>
      <c r="I45" s="3">
        <v>4.4400000000000004</v>
      </c>
      <c r="J45" s="3">
        <v>6780</v>
      </c>
      <c r="K45" s="3">
        <v>4.4400000000000004</v>
      </c>
      <c r="L45" s="3">
        <v>6265</v>
      </c>
      <c r="M45" s="3">
        <v>2.5</v>
      </c>
      <c r="N45">
        <f t="shared" si="1"/>
        <v>9.5696219157798659</v>
      </c>
      <c r="O45">
        <f t="shared" si="1"/>
        <v>1.43746264769429</v>
      </c>
      <c r="P45">
        <f t="shared" si="1"/>
        <v>7.7016523626422257</v>
      </c>
      <c r="Q45">
        <f t="shared" si="1"/>
        <v>1.6074359097634274</v>
      </c>
      <c r="R45">
        <f t="shared" si="1"/>
        <v>9.8735436761630559</v>
      </c>
      <c r="S45">
        <f t="shared" si="2"/>
        <v>1.0681530811834012</v>
      </c>
      <c r="T45">
        <f t="shared" si="2"/>
        <v>8.5750846698320142</v>
      </c>
      <c r="U45">
        <f t="shared" si="2"/>
        <v>1.4906543764441336</v>
      </c>
      <c r="V45">
        <f t="shared" si="2"/>
        <v>8.8217323809344421</v>
      </c>
      <c r="W45">
        <f t="shared" si="3"/>
        <v>1.4906543764441336</v>
      </c>
      <c r="X45">
        <f t="shared" si="3"/>
        <v>8.742733867330168</v>
      </c>
      <c r="Y45">
        <f t="shared" si="3"/>
        <v>0.91629073187415511</v>
      </c>
    </row>
    <row r="46" spans="1:25" x14ac:dyDescent="0.15">
      <c r="A46" s="1" t="s">
        <v>44</v>
      </c>
      <c r="B46" s="3">
        <v>11682</v>
      </c>
      <c r="C46" s="3">
        <v>4.67</v>
      </c>
      <c r="D46" s="3">
        <v>2065</v>
      </c>
      <c r="E46" s="3">
        <v>4.99</v>
      </c>
      <c r="F46" s="3">
        <v>15855</v>
      </c>
      <c r="G46" s="3">
        <v>3</v>
      </c>
      <c r="H46" s="3">
        <v>4326</v>
      </c>
      <c r="I46" s="3">
        <v>4.4400000000000004</v>
      </c>
      <c r="J46" s="3">
        <v>23206</v>
      </c>
      <c r="K46" s="3">
        <v>3.14</v>
      </c>
      <c r="L46" s="3">
        <v>5175</v>
      </c>
      <c r="M46" s="3">
        <v>2.5</v>
      </c>
      <c r="N46">
        <f t="shared" si="1"/>
        <v>9.3658044746002549</v>
      </c>
      <c r="O46">
        <f t="shared" si="1"/>
        <v>1.5411590716808059</v>
      </c>
      <c r="P46">
        <f t="shared" si="1"/>
        <v>7.6328855053951328</v>
      </c>
      <c r="Q46">
        <f t="shared" si="1"/>
        <v>1.6074359097634274</v>
      </c>
      <c r="R46">
        <f t="shared" si="1"/>
        <v>9.6712401869724474</v>
      </c>
      <c r="S46">
        <f t="shared" si="2"/>
        <v>1.0986122886681098</v>
      </c>
      <c r="T46">
        <f t="shared" si="2"/>
        <v>8.3723986065130038</v>
      </c>
      <c r="U46">
        <f t="shared" si="2"/>
        <v>1.4906543764441336</v>
      </c>
      <c r="V46">
        <f t="shared" si="2"/>
        <v>10.05216614490749</v>
      </c>
      <c r="W46">
        <f t="shared" si="3"/>
        <v>1.144222799920162</v>
      </c>
      <c r="X46">
        <f t="shared" si="3"/>
        <v>8.5515946181335707</v>
      </c>
      <c r="Y46">
        <f t="shared" si="3"/>
        <v>0.91629073187415511</v>
      </c>
    </row>
    <row r="47" spans="1:25" x14ac:dyDescent="0.15">
      <c r="A47" s="1" t="s">
        <v>45</v>
      </c>
      <c r="B47" s="3">
        <v>3458</v>
      </c>
      <c r="C47" s="3">
        <v>5.89</v>
      </c>
      <c r="D47" s="3">
        <v>2352</v>
      </c>
      <c r="E47" s="3">
        <v>4.99</v>
      </c>
      <c r="F47" s="3">
        <v>43247</v>
      </c>
      <c r="G47" s="3">
        <v>2.5</v>
      </c>
      <c r="H47" s="3">
        <v>7008</v>
      </c>
      <c r="I47" s="3">
        <v>4.01</v>
      </c>
      <c r="J47" s="3">
        <v>7686</v>
      </c>
      <c r="K47" s="3">
        <v>4.3099999999999996</v>
      </c>
      <c r="L47" s="3">
        <v>25130</v>
      </c>
      <c r="M47" s="3">
        <v>1.87</v>
      </c>
      <c r="N47">
        <f t="shared" si="1"/>
        <v>8.1484456662432354</v>
      </c>
      <c r="O47">
        <f t="shared" si="1"/>
        <v>1.7732559976634952</v>
      </c>
      <c r="P47">
        <f t="shared" si="1"/>
        <v>7.7630213090185176</v>
      </c>
      <c r="Q47">
        <f t="shared" si="1"/>
        <v>1.6074359097634274</v>
      </c>
      <c r="R47">
        <f t="shared" si="1"/>
        <v>10.67468314579237</v>
      </c>
      <c r="S47">
        <f t="shared" si="2"/>
        <v>0.91629073187415511</v>
      </c>
      <c r="T47">
        <f t="shared" si="2"/>
        <v>8.8548076326162271</v>
      </c>
      <c r="U47">
        <f t="shared" si="2"/>
        <v>1.3887912413184778</v>
      </c>
      <c r="V47">
        <f t="shared" si="2"/>
        <v>8.9471557711247893</v>
      </c>
      <c r="W47">
        <f t="shared" si="3"/>
        <v>1.4609379041156563</v>
      </c>
      <c r="X47">
        <f t="shared" si="3"/>
        <v>10.131817630537638</v>
      </c>
      <c r="Y47">
        <f t="shared" si="3"/>
        <v>0.62593843086649537</v>
      </c>
    </row>
    <row r="48" spans="1:25" x14ac:dyDescent="0.15">
      <c r="A48" s="1" t="s">
        <v>46</v>
      </c>
      <c r="B48" s="3">
        <v>21605</v>
      </c>
      <c r="C48" s="3">
        <v>4</v>
      </c>
      <c r="D48" s="3">
        <v>1546</v>
      </c>
      <c r="E48" s="3">
        <v>4.99</v>
      </c>
      <c r="F48" s="3">
        <v>96837</v>
      </c>
      <c r="G48" s="3">
        <v>2.0299999999999998</v>
      </c>
      <c r="H48" s="3">
        <v>4967</v>
      </c>
      <c r="I48" s="3">
        <v>4.41</v>
      </c>
      <c r="J48" s="3">
        <v>6984</v>
      </c>
      <c r="K48" s="3">
        <v>4.4400000000000004</v>
      </c>
      <c r="L48" s="3">
        <v>6849</v>
      </c>
      <c r="M48" s="3">
        <v>2.38</v>
      </c>
      <c r="N48">
        <f t="shared" si="1"/>
        <v>9.9806800483660343</v>
      </c>
      <c r="O48">
        <f t="shared" si="1"/>
        <v>1.3862943611198906</v>
      </c>
      <c r="P48">
        <f t="shared" si="1"/>
        <v>7.3434262291473669</v>
      </c>
      <c r="Q48">
        <f t="shared" si="1"/>
        <v>1.6074359097634274</v>
      </c>
      <c r="R48">
        <f t="shared" si="1"/>
        <v>11.480784431637813</v>
      </c>
      <c r="S48">
        <f t="shared" si="2"/>
        <v>0.70803579305369591</v>
      </c>
      <c r="T48">
        <f t="shared" si="2"/>
        <v>8.5105713151073505</v>
      </c>
      <c r="U48">
        <f t="shared" si="2"/>
        <v>1.4838746894587547</v>
      </c>
      <c r="V48">
        <f t="shared" si="2"/>
        <v>8.851377097519439</v>
      </c>
      <c r="W48">
        <f t="shared" si="3"/>
        <v>1.4906543764441336</v>
      </c>
      <c r="X48">
        <f t="shared" si="3"/>
        <v>8.8318579351979061</v>
      </c>
      <c r="Y48">
        <f t="shared" si="3"/>
        <v>0.86710048768338333</v>
      </c>
    </row>
    <row r="49" spans="1:25" x14ac:dyDescent="0.15">
      <c r="A49" s="1" t="s">
        <v>47</v>
      </c>
      <c r="B49" s="3">
        <v>4081</v>
      </c>
      <c r="C49" s="3">
        <v>5.58</v>
      </c>
      <c r="D49" s="3">
        <v>2269</v>
      </c>
      <c r="E49" s="3">
        <v>4.99</v>
      </c>
      <c r="F49" s="3">
        <v>79811</v>
      </c>
      <c r="G49" s="3">
        <v>2.0299999999999998</v>
      </c>
      <c r="H49" s="3">
        <v>32883</v>
      </c>
      <c r="I49" s="3">
        <v>3.01</v>
      </c>
      <c r="J49" s="3">
        <v>7552</v>
      </c>
      <c r="K49" s="3">
        <v>4.4400000000000004</v>
      </c>
      <c r="L49" s="3">
        <v>8567</v>
      </c>
      <c r="M49" s="3">
        <v>2.5</v>
      </c>
      <c r="N49">
        <f t="shared" si="1"/>
        <v>8.3140973354058065</v>
      </c>
      <c r="O49">
        <f t="shared" si="1"/>
        <v>1.7191887763932197</v>
      </c>
      <c r="P49">
        <f t="shared" si="1"/>
        <v>7.7270944847798413</v>
      </c>
      <c r="Q49">
        <f t="shared" si="1"/>
        <v>1.6074359097634274</v>
      </c>
      <c r="R49">
        <f t="shared" si="1"/>
        <v>11.287416618549733</v>
      </c>
      <c r="S49">
        <f t="shared" si="2"/>
        <v>0.70803579305369591</v>
      </c>
      <c r="T49">
        <f t="shared" si="2"/>
        <v>10.400711085883833</v>
      </c>
      <c r="U49">
        <f t="shared" si="2"/>
        <v>1.1019400787607843</v>
      </c>
      <c r="V49">
        <f t="shared" si="2"/>
        <v>8.9295677078253366</v>
      </c>
      <c r="W49">
        <f t="shared" si="3"/>
        <v>1.4906543764441336</v>
      </c>
      <c r="X49">
        <f t="shared" si="3"/>
        <v>9.0556728919640435</v>
      </c>
      <c r="Y49">
        <f t="shared" si="3"/>
        <v>0.91629073187415511</v>
      </c>
    </row>
    <row r="50" spans="1:25" x14ac:dyDescent="0.15">
      <c r="A50" s="1" t="s">
        <v>48</v>
      </c>
      <c r="B50" s="3">
        <v>4053</v>
      </c>
      <c r="C50" s="3">
        <v>5.99</v>
      </c>
      <c r="D50" s="3">
        <v>2679</v>
      </c>
      <c r="E50" s="3">
        <v>4.99</v>
      </c>
      <c r="F50" s="3">
        <v>20053</v>
      </c>
      <c r="G50" s="3">
        <v>2.93</v>
      </c>
      <c r="H50" s="3">
        <v>6555</v>
      </c>
      <c r="I50" s="3">
        <v>4.3499999999999996</v>
      </c>
      <c r="J50" s="3">
        <v>7712</v>
      </c>
      <c r="K50" s="3">
        <v>4.4400000000000004</v>
      </c>
      <c r="L50" s="3">
        <v>7598</v>
      </c>
      <c r="M50" s="3">
        <v>2.5</v>
      </c>
      <c r="N50">
        <f t="shared" si="1"/>
        <v>8.3072126266283082</v>
      </c>
      <c r="O50">
        <f t="shared" si="1"/>
        <v>1.7900914121273581</v>
      </c>
      <c r="P50">
        <f t="shared" si="1"/>
        <v>7.8931988695446087</v>
      </c>
      <c r="Q50">
        <f t="shared" si="1"/>
        <v>1.6074359097634274</v>
      </c>
      <c r="R50">
        <f t="shared" si="1"/>
        <v>9.9061340474770336</v>
      </c>
      <c r="S50">
        <f t="shared" si="2"/>
        <v>1.0750024230289761</v>
      </c>
      <c r="T50">
        <f t="shared" si="2"/>
        <v>8.7879833961978004</v>
      </c>
      <c r="U50">
        <f t="shared" si="2"/>
        <v>1.4701758451005926</v>
      </c>
      <c r="V50">
        <f t="shared" si="2"/>
        <v>8.9505328362903818</v>
      </c>
      <c r="W50">
        <f t="shared" si="3"/>
        <v>1.4906543764441336</v>
      </c>
      <c r="X50">
        <f t="shared" si="3"/>
        <v>8.9356403337475712</v>
      </c>
      <c r="Y50">
        <f t="shared" si="3"/>
        <v>0.91629073187415511</v>
      </c>
    </row>
    <row r="51" spans="1:25" x14ac:dyDescent="0.15">
      <c r="A51" s="1" t="s">
        <v>49</v>
      </c>
      <c r="B51" s="3">
        <v>3625</v>
      </c>
      <c r="C51" s="3">
        <v>5.99</v>
      </c>
      <c r="D51" s="3">
        <v>2485</v>
      </c>
      <c r="E51" s="3">
        <v>4.99</v>
      </c>
      <c r="F51" s="3">
        <v>155428</v>
      </c>
      <c r="G51" s="3">
        <v>1.67</v>
      </c>
      <c r="H51" s="3">
        <v>15954</v>
      </c>
      <c r="I51" s="3">
        <v>3.56</v>
      </c>
      <c r="J51" s="3">
        <v>6880</v>
      </c>
      <c r="K51" s="3">
        <v>4.4400000000000004</v>
      </c>
      <c r="L51" s="3">
        <v>13788</v>
      </c>
      <c r="M51" s="3">
        <v>1.93</v>
      </c>
      <c r="N51">
        <f t="shared" si="1"/>
        <v>8.1956095672887752</v>
      </c>
      <c r="O51">
        <f t="shared" si="1"/>
        <v>1.7900914121273581</v>
      </c>
      <c r="P51">
        <f t="shared" si="1"/>
        <v>7.8180279385307294</v>
      </c>
      <c r="Q51">
        <f t="shared" si="1"/>
        <v>1.6074359097634274</v>
      </c>
      <c r="R51">
        <f t="shared" si="1"/>
        <v>11.953937880865364</v>
      </c>
      <c r="S51">
        <f t="shared" si="2"/>
        <v>0.51282362642866375</v>
      </c>
      <c r="T51">
        <f t="shared" si="2"/>
        <v>9.6774648604710745</v>
      </c>
      <c r="U51">
        <f t="shared" si="2"/>
        <v>1.2697605448639391</v>
      </c>
      <c r="V51">
        <f t="shared" si="2"/>
        <v>8.8363739309273885</v>
      </c>
      <c r="W51">
        <f t="shared" si="3"/>
        <v>1.4906543764441336</v>
      </c>
      <c r="X51">
        <f t="shared" si="3"/>
        <v>9.5315539276367556</v>
      </c>
      <c r="Y51">
        <f t="shared" si="3"/>
        <v>0.65752000291679413</v>
      </c>
    </row>
    <row r="52" spans="1:25" x14ac:dyDescent="0.15">
      <c r="A52" s="1" t="s">
        <v>50</v>
      </c>
      <c r="B52" s="3">
        <v>3990</v>
      </c>
      <c r="C52" s="3">
        <v>5.99</v>
      </c>
      <c r="D52" s="3">
        <v>3739</v>
      </c>
      <c r="E52" s="3">
        <v>4.99</v>
      </c>
      <c r="F52" s="3">
        <v>21324</v>
      </c>
      <c r="G52" s="3">
        <v>2.74</v>
      </c>
      <c r="H52" s="3">
        <v>49009</v>
      </c>
      <c r="I52" s="3">
        <v>3.01</v>
      </c>
      <c r="J52" s="3">
        <v>7934</v>
      </c>
      <c r="K52" s="3">
        <v>4.4400000000000004</v>
      </c>
      <c r="L52" s="3">
        <v>6806</v>
      </c>
      <c r="M52" s="3">
        <v>2.4500000000000002</v>
      </c>
      <c r="N52">
        <f t="shared" si="1"/>
        <v>8.2915465098839096</v>
      </c>
      <c r="O52">
        <f t="shared" si="1"/>
        <v>1.7900914121273581</v>
      </c>
      <c r="P52">
        <f t="shared" si="1"/>
        <v>8.2265734749771138</v>
      </c>
      <c r="Q52">
        <f t="shared" si="1"/>
        <v>1.6074359097634274</v>
      </c>
      <c r="R52">
        <f t="shared" si="1"/>
        <v>9.9675884779426518</v>
      </c>
      <c r="S52">
        <f t="shared" si="2"/>
        <v>1.0079579203999789</v>
      </c>
      <c r="T52">
        <f t="shared" si="2"/>
        <v>10.799759233696244</v>
      </c>
      <c r="U52">
        <f t="shared" si="2"/>
        <v>1.1019400787607843</v>
      </c>
      <c r="V52">
        <f t="shared" si="2"/>
        <v>8.9789126010742759</v>
      </c>
      <c r="W52">
        <f t="shared" si="3"/>
        <v>1.4906543764441336</v>
      </c>
      <c r="X52">
        <f t="shared" si="3"/>
        <v>8.8255598550608507</v>
      </c>
      <c r="Y52">
        <f t="shared" si="3"/>
        <v>0.89608802455663572</v>
      </c>
    </row>
    <row r="53" spans="1:25" x14ac:dyDescent="0.15">
      <c r="A53" s="1" t="s">
        <v>51</v>
      </c>
      <c r="B53" s="3">
        <v>3540</v>
      </c>
      <c r="C53" s="3">
        <v>5.99</v>
      </c>
      <c r="D53" s="3">
        <v>14159</v>
      </c>
      <c r="E53" s="3">
        <v>4</v>
      </c>
      <c r="F53" s="3">
        <v>22247</v>
      </c>
      <c r="G53" s="3">
        <v>3</v>
      </c>
      <c r="H53" s="3">
        <v>34816</v>
      </c>
      <c r="I53" s="3">
        <v>3</v>
      </c>
      <c r="J53" s="3">
        <v>7997</v>
      </c>
      <c r="K53" s="3">
        <v>4.4400000000000004</v>
      </c>
      <c r="L53" s="3">
        <v>6834</v>
      </c>
      <c r="M53" s="3">
        <v>2.5</v>
      </c>
      <c r="N53">
        <f t="shared" si="1"/>
        <v>8.1718820061278201</v>
      </c>
      <c r="O53">
        <f t="shared" si="1"/>
        <v>1.7900914121273581</v>
      </c>
      <c r="P53">
        <f t="shared" si="1"/>
        <v>9.5581057432849708</v>
      </c>
      <c r="Q53">
        <f t="shared" si="1"/>
        <v>1.3862943611198906</v>
      </c>
      <c r="R53">
        <f t="shared" si="1"/>
        <v>10.009962447043133</v>
      </c>
      <c r="S53">
        <f t="shared" si="2"/>
        <v>1.0986122886681098</v>
      </c>
      <c r="T53">
        <f t="shared" si="2"/>
        <v>10.457832330215615</v>
      </c>
      <c r="U53">
        <f t="shared" si="2"/>
        <v>1.0986122886681098</v>
      </c>
      <c r="V53">
        <f t="shared" si="2"/>
        <v>8.9868217503318899</v>
      </c>
      <c r="W53">
        <f t="shared" si="3"/>
        <v>1.4906543764441336</v>
      </c>
      <c r="X53">
        <f t="shared" si="3"/>
        <v>8.8296654326752364</v>
      </c>
      <c r="Y53">
        <f t="shared" si="3"/>
        <v>0.91629073187415511</v>
      </c>
    </row>
    <row r="54" spans="1:25" x14ac:dyDescent="0.15">
      <c r="A54" s="1" t="s">
        <v>52</v>
      </c>
      <c r="B54" s="3">
        <v>3443</v>
      </c>
      <c r="C54" s="3">
        <v>5.99</v>
      </c>
      <c r="D54" s="3">
        <v>3084</v>
      </c>
      <c r="E54" s="3">
        <v>4.8600000000000003</v>
      </c>
      <c r="F54" s="3">
        <v>20047</v>
      </c>
      <c r="G54" s="3">
        <v>3</v>
      </c>
      <c r="H54" s="3">
        <v>6430</v>
      </c>
      <c r="I54" s="3">
        <v>4.33</v>
      </c>
      <c r="J54" s="3">
        <v>29760</v>
      </c>
      <c r="K54" s="3">
        <v>3.33</v>
      </c>
      <c r="L54" s="3">
        <v>6897</v>
      </c>
      <c r="M54" s="3">
        <v>2.5</v>
      </c>
      <c r="N54">
        <f t="shared" si="1"/>
        <v>8.1440984633385245</v>
      </c>
      <c r="O54">
        <f t="shared" si="1"/>
        <v>1.7900914121273581</v>
      </c>
      <c r="P54">
        <f t="shared" si="1"/>
        <v>8.0339827346832209</v>
      </c>
      <c r="Q54">
        <f t="shared" si="1"/>
        <v>1.5810384379124025</v>
      </c>
      <c r="R54">
        <f t="shared" si="1"/>
        <v>9.905834795604477</v>
      </c>
      <c r="S54">
        <f t="shared" si="2"/>
        <v>1.0986122886681098</v>
      </c>
      <c r="T54">
        <f t="shared" si="2"/>
        <v>8.7687298172316659</v>
      </c>
      <c r="U54">
        <f t="shared" si="2"/>
        <v>1.4655675420143985</v>
      </c>
      <c r="V54">
        <f t="shared" si="2"/>
        <v>10.300920488947028</v>
      </c>
      <c r="W54">
        <f t="shared" si="3"/>
        <v>1.2029723039923526</v>
      </c>
      <c r="X54">
        <f t="shared" si="3"/>
        <v>8.8388418134312907</v>
      </c>
      <c r="Y54">
        <f t="shared" si="3"/>
        <v>0.91629073187415511</v>
      </c>
    </row>
    <row r="55" spans="1:25" x14ac:dyDescent="0.15">
      <c r="A55" s="1" t="s">
        <v>53</v>
      </c>
      <c r="B55" s="3">
        <v>5848</v>
      </c>
      <c r="C55" s="3">
        <v>5.53</v>
      </c>
      <c r="D55" s="3">
        <v>2878</v>
      </c>
      <c r="E55" s="3">
        <v>4.99</v>
      </c>
      <c r="F55" s="3">
        <v>21899</v>
      </c>
      <c r="G55" s="3">
        <v>3</v>
      </c>
      <c r="H55" s="3">
        <v>5848</v>
      </c>
      <c r="I55" s="3">
        <v>4.4400000000000004</v>
      </c>
      <c r="J55" s="3">
        <v>7991</v>
      </c>
      <c r="K55" s="3">
        <v>4.2699999999999996</v>
      </c>
      <c r="L55" s="3">
        <v>6532</v>
      </c>
      <c r="M55" s="3">
        <v>2.5</v>
      </c>
      <c r="N55">
        <f t="shared" si="1"/>
        <v>8.6738550014296152</v>
      </c>
      <c r="O55">
        <f t="shared" si="1"/>
        <v>1.7101878155342434</v>
      </c>
      <c r="P55">
        <f t="shared" si="1"/>
        <v>7.9648508874473132</v>
      </c>
      <c r="Q55">
        <f t="shared" si="1"/>
        <v>1.6074359097634274</v>
      </c>
      <c r="R55">
        <f t="shared" si="1"/>
        <v>9.99419625266159</v>
      </c>
      <c r="S55">
        <f t="shared" si="2"/>
        <v>1.0986122886681098</v>
      </c>
      <c r="T55">
        <f t="shared" si="2"/>
        <v>8.6738550014296152</v>
      </c>
      <c r="U55">
        <f t="shared" si="2"/>
        <v>1.4906543764441336</v>
      </c>
      <c r="V55">
        <f t="shared" si="2"/>
        <v>8.9860711873744634</v>
      </c>
      <c r="W55">
        <f t="shared" si="3"/>
        <v>1.451613827240533</v>
      </c>
      <c r="X55">
        <f t="shared" si="3"/>
        <v>8.784468454090355</v>
      </c>
      <c r="Y55">
        <f t="shared" si="3"/>
        <v>0.91629073187415511</v>
      </c>
    </row>
    <row r="56" spans="1:25" x14ac:dyDescent="0.15">
      <c r="A56" s="1" t="s">
        <v>54</v>
      </c>
      <c r="B56" s="3">
        <v>18058</v>
      </c>
      <c r="C56" s="3">
        <v>4.57</v>
      </c>
      <c r="D56" s="3">
        <v>2673</v>
      </c>
      <c r="E56" s="3">
        <v>4.99</v>
      </c>
      <c r="F56" s="3">
        <v>74140</v>
      </c>
      <c r="G56" s="3">
        <v>2.2200000000000002</v>
      </c>
      <c r="H56" s="3">
        <v>6207</v>
      </c>
      <c r="I56" s="3">
        <v>4.4400000000000004</v>
      </c>
      <c r="J56" s="3">
        <v>7330</v>
      </c>
      <c r="K56" s="3">
        <v>4.4400000000000004</v>
      </c>
      <c r="L56" s="3">
        <v>6059</v>
      </c>
      <c r="M56" s="3">
        <v>2.5</v>
      </c>
      <c r="N56">
        <f t="shared" si="1"/>
        <v>9.8013440788674249</v>
      </c>
      <c r="O56">
        <f t="shared" si="1"/>
        <v>1.5195132049061133</v>
      </c>
      <c r="P56">
        <f t="shared" si="1"/>
        <v>7.8909567161389189</v>
      </c>
      <c r="Q56">
        <f t="shared" si="1"/>
        <v>1.6074359097634274</v>
      </c>
      <c r="R56">
        <f t="shared" si="1"/>
        <v>11.213710476704723</v>
      </c>
      <c r="S56">
        <f t="shared" si="2"/>
        <v>0.79750719588418817</v>
      </c>
      <c r="T56">
        <f t="shared" si="2"/>
        <v>8.7334329664136519</v>
      </c>
      <c r="U56">
        <f t="shared" si="2"/>
        <v>1.4906543764441336</v>
      </c>
      <c r="V56">
        <f t="shared" si="2"/>
        <v>8.8997307948806963</v>
      </c>
      <c r="W56">
        <f t="shared" si="3"/>
        <v>1.4906543764441336</v>
      </c>
      <c r="X56">
        <f t="shared" si="3"/>
        <v>8.7093000489449892</v>
      </c>
      <c r="Y56">
        <f t="shared" si="3"/>
        <v>0.91629073187415511</v>
      </c>
    </row>
    <row r="57" spans="1:25" x14ac:dyDescent="0.15">
      <c r="A57" s="1" t="s">
        <v>55</v>
      </c>
      <c r="B57" s="3">
        <v>12774</v>
      </c>
      <c r="C57" s="3">
        <v>4.6900000000000004</v>
      </c>
      <c r="D57" s="3">
        <v>2462</v>
      </c>
      <c r="E57" s="3">
        <v>4.99</v>
      </c>
      <c r="F57" s="3">
        <v>20594</v>
      </c>
      <c r="G57" s="3">
        <v>2.92</v>
      </c>
      <c r="H57" s="3">
        <v>27941</v>
      </c>
      <c r="I57" s="3">
        <v>3.01</v>
      </c>
      <c r="J57" s="3">
        <v>28380</v>
      </c>
      <c r="K57" s="3">
        <v>3.33</v>
      </c>
      <c r="L57" s="3">
        <v>6589</v>
      </c>
      <c r="M57" s="3">
        <v>2.5</v>
      </c>
      <c r="N57">
        <f t="shared" si="1"/>
        <v>9.4551671341215346</v>
      </c>
      <c r="O57">
        <f t="shared" si="1"/>
        <v>1.545432582458188</v>
      </c>
      <c r="P57">
        <f t="shared" si="1"/>
        <v>7.8087293067443992</v>
      </c>
      <c r="Q57">
        <f t="shared" si="1"/>
        <v>1.6074359097634274</v>
      </c>
      <c r="R57">
        <f t="shared" si="1"/>
        <v>9.9327550502166968</v>
      </c>
      <c r="S57">
        <f t="shared" si="2"/>
        <v>1.0715836162801904</v>
      </c>
      <c r="T57">
        <f t="shared" si="2"/>
        <v>10.237850423151144</v>
      </c>
      <c r="U57">
        <f t="shared" si="2"/>
        <v>1.1019400787607843</v>
      </c>
      <c r="V57">
        <f t="shared" si="2"/>
        <v>10.253439950714034</v>
      </c>
      <c r="W57">
        <f t="shared" si="3"/>
        <v>1.2029723039923526</v>
      </c>
      <c r="X57">
        <f t="shared" si="3"/>
        <v>8.793156870913819</v>
      </c>
      <c r="Y57">
        <f t="shared" si="3"/>
        <v>0.91629073187415511</v>
      </c>
    </row>
    <row r="58" spans="1:25" x14ac:dyDescent="0.15">
      <c r="A58" s="1" t="s">
        <v>56</v>
      </c>
      <c r="B58" s="3">
        <v>3990</v>
      </c>
      <c r="C58" s="3">
        <v>5.96</v>
      </c>
      <c r="D58" s="3">
        <v>6241</v>
      </c>
      <c r="E58" s="3">
        <v>4.5</v>
      </c>
      <c r="F58" s="3">
        <v>17356</v>
      </c>
      <c r="G58" s="3">
        <v>3</v>
      </c>
      <c r="H58" s="3">
        <v>5945</v>
      </c>
      <c r="I58" s="3">
        <v>4.34</v>
      </c>
      <c r="J58" s="3">
        <v>8903</v>
      </c>
      <c r="K58" s="3">
        <v>4.34</v>
      </c>
      <c r="L58" s="3">
        <v>6441</v>
      </c>
      <c r="M58" s="3">
        <v>2.5</v>
      </c>
      <c r="N58">
        <f t="shared" si="1"/>
        <v>8.2915465098839096</v>
      </c>
      <c r="O58">
        <f t="shared" si="1"/>
        <v>1.7850704810772584</v>
      </c>
      <c r="P58">
        <f t="shared" si="1"/>
        <v>8.738895704934043</v>
      </c>
      <c r="Q58">
        <f t="shared" si="1"/>
        <v>1.5040773967762742</v>
      </c>
      <c r="R58">
        <f t="shared" si="1"/>
        <v>9.7616935469182415</v>
      </c>
      <c r="S58">
        <f t="shared" si="2"/>
        <v>1.0986122886681098</v>
      </c>
      <c r="T58">
        <f t="shared" si="2"/>
        <v>8.690305809124883</v>
      </c>
      <c r="U58">
        <f t="shared" si="2"/>
        <v>1.4678743481123135</v>
      </c>
      <c r="V58">
        <f t="shared" si="2"/>
        <v>9.0941435775736714</v>
      </c>
      <c r="W58">
        <f t="shared" si="3"/>
        <v>1.4678743481123135</v>
      </c>
      <c r="X58">
        <f t="shared" si="3"/>
        <v>8.7704390865468902</v>
      </c>
      <c r="Y58">
        <f t="shared" si="3"/>
        <v>0.91629073187415511</v>
      </c>
    </row>
    <row r="59" spans="1:25" x14ac:dyDescent="0.15">
      <c r="A59" s="1" t="s">
        <v>57</v>
      </c>
      <c r="B59" s="3">
        <v>3853</v>
      </c>
      <c r="C59" s="3">
        <v>5.99</v>
      </c>
      <c r="D59" s="3">
        <v>3095</v>
      </c>
      <c r="E59" s="3">
        <v>4.97</v>
      </c>
      <c r="F59" s="3">
        <v>17830</v>
      </c>
      <c r="G59" s="3">
        <v>2.98</v>
      </c>
      <c r="H59" s="3">
        <v>6150</v>
      </c>
      <c r="I59" s="3">
        <v>4.4400000000000004</v>
      </c>
      <c r="J59" s="3">
        <v>8368</v>
      </c>
      <c r="K59" s="3">
        <v>4.4400000000000004</v>
      </c>
      <c r="L59" s="3">
        <v>5147</v>
      </c>
      <c r="M59" s="3">
        <v>2.5</v>
      </c>
      <c r="N59">
        <f t="shared" si="1"/>
        <v>8.2566073446261576</v>
      </c>
      <c r="O59">
        <f t="shared" si="1"/>
        <v>1.7900914121273581</v>
      </c>
      <c r="P59">
        <f t="shared" si="1"/>
        <v>8.0375431851186967</v>
      </c>
      <c r="Q59">
        <f t="shared" si="1"/>
        <v>1.6034198401085373</v>
      </c>
      <c r="R59">
        <f t="shared" si="1"/>
        <v>9.788637710857186</v>
      </c>
      <c r="S59">
        <f t="shared" si="2"/>
        <v>1.091923300517313</v>
      </c>
      <c r="T59">
        <f t="shared" si="2"/>
        <v>8.7242073608005644</v>
      </c>
      <c r="U59">
        <f t="shared" si="2"/>
        <v>1.4906543764441336</v>
      </c>
      <c r="V59">
        <f t="shared" si="2"/>
        <v>9.0321701863047039</v>
      </c>
      <c r="W59">
        <f t="shared" si="3"/>
        <v>1.4906543764441336</v>
      </c>
      <c r="X59">
        <f t="shared" si="3"/>
        <v>8.546169299652755</v>
      </c>
      <c r="Y59">
        <f t="shared" si="3"/>
        <v>0.91629073187415511</v>
      </c>
    </row>
    <row r="60" spans="1:25" x14ac:dyDescent="0.15">
      <c r="A60" s="1" t="s">
        <v>58</v>
      </c>
      <c r="B60" s="3">
        <v>4292</v>
      </c>
      <c r="C60" s="3">
        <v>5.96</v>
      </c>
      <c r="D60" s="3">
        <v>11275</v>
      </c>
      <c r="E60" s="3">
        <v>4.5999999999999996</v>
      </c>
      <c r="F60" s="3">
        <v>136840</v>
      </c>
      <c r="G60" s="3">
        <v>1.99</v>
      </c>
      <c r="H60" s="3">
        <v>7256</v>
      </c>
      <c r="I60" s="3">
        <v>4.41</v>
      </c>
      <c r="J60" s="3">
        <v>9633</v>
      </c>
      <c r="K60" s="3">
        <v>4.41</v>
      </c>
      <c r="L60" s="3">
        <v>4531</v>
      </c>
      <c r="M60" s="3">
        <v>2.9</v>
      </c>
      <c r="N60">
        <f t="shared" si="1"/>
        <v>8.3645081037505893</v>
      </c>
      <c r="O60">
        <f t="shared" si="1"/>
        <v>1.7850704810772584</v>
      </c>
      <c r="P60">
        <f t="shared" si="1"/>
        <v>9.3303431643708787</v>
      </c>
      <c r="Q60">
        <f t="shared" si="1"/>
        <v>1.5260563034950492</v>
      </c>
      <c r="R60">
        <f t="shared" si="1"/>
        <v>11.826567639091541</v>
      </c>
      <c r="S60">
        <f t="shared" si="2"/>
        <v>0.68813463873640102</v>
      </c>
      <c r="T60">
        <f t="shared" si="2"/>
        <v>8.8895839917949733</v>
      </c>
      <c r="U60">
        <f t="shared" si="2"/>
        <v>1.4838746894587547</v>
      </c>
      <c r="V60">
        <f t="shared" si="2"/>
        <v>9.1729499827576237</v>
      </c>
      <c r="W60">
        <f t="shared" si="3"/>
        <v>1.4838746894587547</v>
      </c>
      <c r="X60">
        <f t="shared" si="3"/>
        <v>8.4186979446671391</v>
      </c>
      <c r="Y60">
        <f t="shared" si="3"/>
        <v>1.0647107369924282</v>
      </c>
    </row>
    <row r="61" spans="1:25" x14ac:dyDescent="0.15">
      <c r="A61" s="1" t="s">
        <v>59</v>
      </c>
      <c r="B61" s="3">
        <v>3471</v>
      </c>
      <c r="C61" s="3">
        <v>5.99</v>
      </c>
      <c r="D61" s="3">
        <v>11092</v>
      </c>
      <c r="E61" s="3">
        <v>4.53</v>
      </c>
      <c r="F61" s="3">
        <v>20383</v>
      </c>
      <c r="G61" s="3">
        <v>2.86</v>
      </c>
      <c r="H61" s="3">
        <v>6595</v>
      </c>
      <c r="I61" s="3">
        <v>4.38</v>
      </c>
      <c r="J61" s="3">
        <v>7843</v>
      </c>
      <c r="K61" s="3">
        <v>4.4400000000000004</v>
      </c>
      <c r="L61" s="3">
        <v>4674</v>
      </c>
      <c r="M61" s="3">
        <v>2.99</v>
      </c>
      <c r="N61">
        <f t="shared" si="1"/>
        <v>8.1521980158617868</v>
      </c>
      <c r="O61">
        <f t="shared" si="1"/>
        <v>1.7900914121273581</v>
      </c>
      <c r="P61">
        <f t="shared" si="1"/>
        <v>9.3139794067356689</v>
      </c>
      <c r="Q61">
        <f t="shared" si="1"/>
        <v>1.5107219394949427</v>
      </c>
      <c r="R61">
        <f t="shared" si="1"/>
        <v>9.9224564990837312</v>
      </c>
      <c r="S61">
        <f t="shared" si="2"/>
        <v>1.0508216248317612</v>
      </c>
      <c r="T61">
        <f t="shared" si="2"/>
        <v>8.794067065151415</v>
      </c>
      <c r="U61">
        <f t="shared" si="2"/>
        <v>1.4770487243883548</v>
      </c>
      <c r="V61">
        <f t="shared" si="2"/>
        <v>8.9673766932126657</v>
      </c>
      <c r="W61">
        <f t="shared" si="3"/>
        <v>1.4906543764441336</v>
      </c>
      <c r="X61">
        <f t="shared" si="3"/>
        <v>8.4497705150988036</v>
      </c>
      <c r="Y61">
        <f t="shared" si="3"/>
        <v>1.0952733874025951</v>
      </c>
    </row>
    <row r="62" spans="1:25" x14ac:dyDescent="0.15">
      <c r="A62" s="1" t="s">
        <v>60</v>
      </c>
      <c r="B62" s="3">
        <v>4098</v>
      </c>
      <c r="C62" s="3">
        <v>5.99</v>
      </c>
      <c r="D62" s="3">
        <v>8140</v>
      </c>
      <c r="E62" s="3">
        <v>4.5599999999999996</v>
      </c>
      <c r="F62" s="3">
        <v>22287</v>
      </c>
      <c r="G62" s="3">
        <v>3</v>
      </c>
      <c r="H62" s="3">
        <v>22395</v>
      </c>
      <c r="I62" s="3">
        <v>3.37</v>
      </c>
      <c r="J62" s="3">
        <v>9052</v>
      </c>
      <c r="K62" s="3">
        <v>4.4400000000000004</v>
      </c>
      <c r="L62" s="3">
        <v>5917</v>
      </c>
      <c r="M62" s="3">
        <v>2.94</v>
      </c>
      <c r="N62">
        <f t="shared" si="1"/>
        <v>8.3182543287988455</v>
      </c>
      <c r="O62">
        <f t="shared" si="1"/>
        <v>1.7900914121273581</v>
      </c>
      <c r="P62">
        <f t="shared" si="1"/>
        <v>9.0045454589965868</v>
      </c>
      <c r="Q62">
        <f t="shared" si="1"/>
        <v>1.5173226235262947</v>
      </c>
      <c r="R62">
        <f t="shared" ref="R62:U125" si="4">LN(F62)</f>
        <v>10.011758827819916</v>
      </c>
      <c r="S62">
        <f t="shared" si="2"/>
        <v>1.0986122886681098</v>
      </c>
      <c r="T62">
        <f t="shared" si="2"/>
        <v>10.0165929986414</v>
      </c>
      <c r="U62">
        <f t="shared" si="2"/>
        <v>1.2149127443642704</v>
      </c>
      <c r="V62">
        <f t="shared" si="2"/>
        <v>9.1107410067534271</v>
      </c>
      <c r="W62">
        <f t="shared" si="3"/>
        <v>1.4906543764441336</v>
      </c>
      <c r="X62">
        <f t="shared" si="3"/>
        <v>8.6855848426766933</v>
      </c>
      <c r="Y62">
        <f t="shared" si="3"/>
        <v>1.0784095813505903</v>
      </c>
    </row>
    <row r="63" spans="1:25" x14ac:dyDescent="0.15">
      <c r="A63" s="1" t="s">
        <v>61</v>
      </c>
      <c r="B63" s="3">
        <v>4001</v>
      </c>
      <c r="C63" s="3">
        <v>5.99</v>
      </c>
      <c r="D63" s="3">
        <v>2023</v>
      </c>
      <c r="E63" s="3">
        <v>5.89</v>
      </c>
      <c r="F63" s="3">
        <v>70338</v>
      </c>
      <c r="G63" s="3">
        <v>2.25</v>
      </c>
      <c r="H63" s="3">
        <v>6116</v>
      </c>
      <c r="I63" s="3">
        <v>4.32</v>
      </c>
      <c r="J63" s="3">
        <v>7877</v>
      </c>
      <c r="K63" s="3">
        <v>4.4400000000000004</v>
      </c>
      <c r="L63" s="3">
        <v>5369</v>
      </c>
      <c r="M63" s="3">
        <v>2.88</v>
      </c>
      <c r="N63">
        <f t="shared" si="1"/>
        <v>8.2942996088572354</v>
      </c>
      <c r="O63">
        <f t="shared" si="1"/>
        <v>1.7900914121273581</v>
      </c>
      <c r="P63">
        <f t="shared" si="1"/>
        <v>7.6123368371677458</v>
      </c>
      <c r="Q63">
        <f t="shared" si="1"/>
        <v>1.7732559976634952</v>
      </c>
      <c r="R63">
        <f t="shared" si="4"/>
        <v>11.161067472299884</v>
      </c>
      <c r="S63">
        <f t="shared" si="2"/>
        <v>0.81093021621632877</v>
      </c>
      <c r="T63">
        <f t="shared" si="2"/>
        <v>8.718663567048953</v>
      </c>
      <c r="U63">
        <f t="shared" si="2"/>
        <v>1.4632554022560189</v>
      </c>
      <c r="V63">
        <f t="shared" si="2"/>
        <v>8.9717023997033252</v>
      </c>
      <c r="W63">
        <f t="shared" si="3"/>
        <v>1.4906543764441336</v>
      </c>
      <c r="X63">
        <f t="shared" si="3"/>
        <v>8.5883969504225703</v>
      </c>
      <c r="Y63">
        <f t="shared" si="3"/>
        <v>1.0577902941478545</v>
      </c>
    </row>
    <row r="64" spans="1:25" x14ac:dyDescent="0.15">
      <c r="A64" s="1" t="s">
        <v>62</v>
      </c>
      <c r="B64" s="3">
        <v>7581</v>
      </c>
      <c r="C64" s="3">
        <v>5.27</v>
      </c>
      <c r="D64" s="3">
        <v>1904</v>
      </c>
      <c r="E64" s="3">
        <v>5.99</v>
      </c>
      <c r="F64" s="3">
        <v>19830</v>
      </c>
      <c r="G64" s="3">
        <v>2.9</v>
      </c>
      <c r="H64" s="3">
        <v>8977</v>
      </c>
      <c r="I64" s="3">
        <v>4.4400000000000004</v>
      </c>
      <c r="J64" s="3">
        <v>8749</v>
      </c>
      <c r="K64" s="3">
        <v>4.4400000000000004</v>
      </c>
      <c r="L64" s="3">
        <v>4828</v>
      </c>
      <c r="M64" s="3">
        <v>2.87</v>
      </c>
      <c r="N64">
        <f t="shared" si="1"/>
        <v>8.9334003960563031</v>
      </c>
      <c r="O64">
        <f t="shared" si="1"/>
        <v>1.6620303625532709</v>
      </c>
      <c r="P64">
        <f t="shared" si="1"/>
        <v>7.5517122153513103</v>
      </c>
      <c r="Q64">
        <f t="shared" si="1"/>
        <v>1.7900914121273581</v>
      </c>
      <c r="R64">
        <f t="shared" si="4"/>
        <v>9.8949512215138409</v>
      </c>
      <c r="S64">
        <f t="shared" si="2"/>
        <v>1.0647107369924282</v>
      </c>
      <c r="T64">
        <f t="shared" si="2"/>
        <v>9.1024210297566892</v>
      </c>
      <c r="U64">
        <f t="shared" si="2"/>
        <v>1.4906543764441336</v>
      </c>
      <c r="V64">
        <f t="shared" si="2"/>
        <v>9.076694687106265</v>
      </c>
      <c r="W64">
        <f t="shared" si="3"/>
        <v>1.4906543764441336</v>
      </c>
      <c r="X64">
        <f t="shared" si="3"/>
        <v>8.4821875822174224</v>
      </c>
      <c r="Y64">
        <f t="shared" si="3"/>
        <v>1.0543120297715298</v>
      </c>
    </row>
    <row r="65" spans="1:25" x14ac:dyDescent="0.15">
      <c r="A65" s="1" t="s">
        <v>63</v>
      </c>
      <c r="B65" s="3">
        <v>15002</v>
      </c>
      <c r="C65" s="3">
        <v>4.5</v>
      </c>
      <c r="D65" s="3">
        <v>1345</v>
      </c>
      <c r="E65" s="3">
        <v>5.99</v>
      </c>
      <c r="F65" s="3">
        <v>14763</v>
      </c>
      <c r="G65" s="3">
        <v>2.99</v>
      </c>
      <c r="H65" s="3">
        <v>35938</v>
      </c>
      <c r="I65" s="3">
        <v>2.52</v>
      </c>
      <c r="J65" s="3">
        <v>54264</v>
      </c>
      <c r="K65" s="3">
        <v>2.54</v>
      </c>
      <c r="L65" s="3">
        <v>2901</v>
      </c>
      <c r="M65" s="3">
        <v>2.93</v>
      </c>
      <c r="N65">
        <f t="shared" si="1"/>
        <v>9.6159388045295824</v>
      </c>
      <c r="O65">
        <f t="shared" si="1"/>
        <v>1.5040773967762742</v>
      </c>
      <c r="P65">
        <f t="shared" si="1"/>
        <v>7.2041492920359396</v>
      </c>
      <c r="Q65">
        <f t="shared" si="1"/>
        <v>1.7900914121273581</v>
      </c>
      <c r="R65">
        <f t="shared" si="4"/>
        <v>9.5998793295340885</v>
      </c>
      <c r="S65">
        <f t="shared" si="2"/>
        <v>1.0952733874025951</v>
      </c>
      <c r="T65">
        <f t="shared" si="2"/>
        <v>10.489550510486399</v>
      </c>
      <c r="U65">
        <f t="shared" si="2"/>
        <v>0.9242589015233319</v>
      </c>
      <c r="V65">
        <f t="shared" si="2"/>
        <v>10.901616302625916</v>
      </c>
      <c r="W65">
        <f t="shared" si="3"/>
        <v>0.93216408103044524</v>
      </c>
      <c r="X65">
        <f t="shared" si="3"/>
        <v>7.9728107841214042</v>
      </c>
      <c r="Y65">
        <f t="shared" si="3"/>
        <v>1.0750024230289761</v>
      </c>
    </row>
    <row r="66" spans="1:25" x14ac:dyDescent="0.15">
      <c r="A66" s="1" t="s">
        <v>64</v>
      </c>
      <c r="B66" s="3">
        <v>10767</v>
      </c>
      <c r="C66" s="3">
        <v>4.51</v>
      </c>
      <c r="D66" s="3">
        <v>1516</v>
      </c>
      <c r="E66" s="3">
        <v>5.99</v>
      </c>
      <c r="F66" s="3">
        <v>17168</v>
      </c>
      <c r="G66" s="3">
        <v>3</v>
      </c>
      <c r="H66" s="3">
        <v>12871</v>
      </c>
      <c r="I66" s="3">
        <v>3.08</v>
      </c>
      <c r="J66" s="3">
        <v>9034</v>
      </c>
      <c r="K66" s="3">
        <v>4</v>
      </c>
      <c r="L66" s="3">
        <v>3283</v>
      </c>
      <c r="M66" s="3">
        <v>2.92</v>
      </c>
      <c r="N66">
        <f t="shared" si="1"/>
        <v>9.2842411798157176</v>
      </c>
      <c r="O66">
        <f t="shared" si="1"/>
        <v>1.506297153514587</v>
      </c>
      <c r="P66">
        <f t="shared" si="1"/>
        <v>7.3238305662023171</v>
      </c>
      <c r="Q66">
        <f t="shared" si="1"/>
        <v>1.7900914121273581</v>
      </c>
      <c r="R66">
        <f t="shared" si="4"/>
        <v>9.7508024648704801</v>
      </c>
      <c r="S66">
        <f t="shared" si="2"/>
        <v>1.0986122886681098</v>
      </c>
      <c r="T66">
        <f t="shared" si="2"/>
        <v>9.462731997649378</v>
      </c>
      <c r="U66">
        <f t="shared" si="2"/>
        <v>1.1249295969854831</v>
      </c>
      <c r="V66">
        <f t="shared" si="2"/>
        <v>9.108750516214549</v>
      </c>
      <c r="W66">
        <f t="shared" si="3"/>
        <v>1.3862943611198906</v>
      </c>
      <c r="X66">
        <f t="shared" si="3"/>
        <v>8.0965129175015935</v>
      </c>
      <c r="Y66">
        <f t="shared" si="3"/>
        <v>1.0715836162801904</v>
      </c>
    </row>
    <row r="67" spans="1:25" x14ac:dyDescent="0.15">
      <c r="A67" s="1" t="s">
        <v>65</v>
      </c>
      <c r="B67" s="3">
        <v>3089</v>
      </c>
      <c r="C67" s="3">
        <v>5.88</v>
      </c>
      <c r="D67" s="3">
        <v>1442</v>
      </c>
      <c r="E67" s="3">
        <v>5.99</v>
      </c>
      <c r="F67" s="3">
        <v>112512</v>
      </c>
      <c r="G67" s="3">
        <v>2</v>
      </c>
      <c r="H67" s="3">
        <v>7524</v>
      </c>
      <c r="I67" s="3">
        <v>4</v>
      </c>
      <c r="J67" s="3">
        <v>7410</v>
      </c>
      <c r="K67" s="3">
        <v>4.4400000000000004</v>
      </c>
      <c r="L67" s="3">
        <v>3517</v>
      </c>
      <c r="M67" s="3">
        <v>2.97</v>
      </c>
      <c r="N67">
        <f t="shared" ref="N67:Q130" si="5">LN(B67)</f>
        <v>8.035602692918582</v>
      </c>
      <c r="O67">
        <f t="shared" si="5"/>
        <v>1.7715567619105355</v>
      </c>
      <c r="P67">
        <f t="shared" si="5"/>
        <v>7.2737863178448947</v>
      </c>
      <c r="Q67">
        <f t="shared" si="5"/>
        <v>1.7900914121273581</v>
      </c>
      <c r="R67">
        <f t="shared" si="4"/>
        <v>11.630815161604794</v>
      </c>
      <c r="S67">
        <f t="shared" si="2"/>
        <v>0.69314718055994529</v>
      </c>
      <c r="T67">
        <f t="shared" si="2"/>
        <v>8.9258531904209217</v>
      </c>
      <c r="U67">
        <f t="shared" si="2"/>
        <v>1.3862943611198906</v>
      </c>
      <c r="V67">
        <f t="shared" si="2"/>
        <v>8.9105857182901325</v>
      </c>
      <c r="W67">
        <f t="shared" si="3"/>
        <v>1.4906543764441336</v>
      </c>
      <c r="X67">
        <f t="shared" si="3"/>
        <v>8.1653636324739818</v>
      </c>
      <c r="Y67">
        <f t="shared" si="3"/>
        <v>1.0885619528146082</v>
      </c>
    </row>
    <row r="68" spans="1:25" x14ac:dyDescent="0.15">
      <c r="A68" s="1" t="s">
        <v>66</v>
      </c>
      <c r="B68" s="3">
        <v>3260</v>
      </c>
      <c r="C68" s="3">
        <v>5.99</v>
      </c>
      <c r="D68" s="3">
        <v>1659</v>
      </c>
      <c r="E68" s="3">
        <v>5.99</v>
      </c>
      <c r="F68" s="3">
        <v>18075</v>
      </c>
      <c r="G68" s="3">
        <v>2.82</v>
      </c>
      <c r="H68" s="3">
        <v>6407</v>
      </c>
      <c r="I68" s="3">
        <v>4.3</v>
      </c>
      <c r="J68" s="3">
        <v>7045</v>
      </c>
      <c r="K68" s="3">
        <v>4.4400000000000004</v>
      </c>
      <c r="L68" s="3">
        <v>3665</v>
      </c>
      <c r="M68" s="3">
        <v>2.95</v>
      </c>
      <c r="N68">
        <f t="shared" si="5"/>
        <v>8.0894824743607536</v>
      </c>
      <c r="O68">
        <f t="shared" si="5"/>
        <v>1.7900914121273581</v>
      </c>
      <c r="P68">
        <f t="shared" si="5"/>
        <v>7.4139702901904441</v>
      </c>
      <c r="Q68">
        <f t="shared" si="5"/>
        <v>1.7900914121273581</v>
      </c>
      <c r="R68">
        <f t="shared" si="4"/>
        <v>9.8022850470269649</v>
      </c>
      <c r="S68">
        <f t="shared" si="2"/>
        <v>1.0367368849500223</v>
      </c>
      <c r="T68">
        <f t="shared" si="2"/>
        <v>8.765146421639022</v>
      </c>
      <c r="U68">
        <f t="shared" si="2"/>
        <v>1.4586150226995167</v>
      </c>
      <c r="V68">
        <f t="shared" si="2"/>
        <v>8.8600734243327803</v>
      </c>
      <c r="W68">
        <f t="shared" si="3"/>
        <v>1.4906543764441336</v>
      </c>
      <c r="X68">
        <f t="shared" si="3"/>
        <v>8.2065836143207527</v>
      </c>
      <c r="Y68">
        <f t="shared" si="3"/>
        <v>1.0818051703517284</v>
      </c>
    </row>
    <row r="69" spans="1:25" x14ac:dyDescent="0.15">
      <c r="A69" s="1" t="s">
        <v>67</v>
      </c>
      <c r="B69" s="3">
        <v>2833</v>
      </c>
      <c r="C69" s="3">
        <v>5.99</v>
      </c>
      <c r="D69" s="3">
        <v>4691</v>
      </c>
      <c r="E69" s="3">
        <v>4.51</v>
      </c>
      <c r="F69" s="3">
        <v>15909</v>
      </c>
      <c r="G69" s="3">
        <v>3</v>
      </c>
      <c r="H69" s="3">
        <v>18263</v>
      </c>
      <c r="I69" s="3">
        <v>3.32</v>
      </c>
      <c r="J69" s="3">
        <v>7017</v>
      </c>
      <c r="K69" s="3">
        <v>4.4400000000000004</v>
      </c>
      <c r="L69" s="3">
        <v>3562</v>
      </c>
      <c r="M69" s="3">
        <v>2.98</v>
      </c>
      <c r="N69">
        <f t="shared" si="5"/>
        <v>7.9490914998305167</v>
      </c>
      <c r="O69">
        <f t="shared" si="5"/>
        <v>1.7900914121273581</v>
      </c>
      <c r="P69">
        <f t="shared" si="5"/>
        <v>8.453401058328458</v>
      </c>
      <c r="Q69">
        <f t="shared" si="5"/>
        <v>1.506297153514587</v>
      </c>
      <c r="R69">
        <f t="shared" si="4"/>
        <v>9.6746402658052393</v>
      </c>
      <c r="S69">
        <f t="shared" si="2"/>
        <v>1.0986122886681098</v>
      </c>
      <c r="T69">
        <f t="shared" si="2"/>
        <v>9.8126324341920412</v>
      </c>
      <c r="U69">
        <f t="shared" si="2"/>
        <v>1.199964782928397</v>
      </c>
      <c r="V69">
        <f t="shared" si="2"/>
        <v>8.8560910552522891</v>
      </c>
      <c r="W69">
        <f t="shared" si="3"/>
        <v>1.4906543764441336</v>
      </c>
      <c r="X69">
        <f t="shared" si="3"/>
        <v>8.1780774638496077</v>
      </c>
      <c r="Y69">
        <f t="shared" si="3"/>
        <v>1.091923300517313</v>
      </c>
    </row>
    <row r="70" spans="1:25" x14ac:dyDescent="0.15">
      <c r="A70" s="1" t="s">
        <v>68</v>
      </c>
      <c r="B70" s="3">
        <v>3965</v>
      </c>
      <c r="C70" s="3">
        <v>5.5</v>
      </c>
      <c r="D70" s="3">
        <v>2044</v>
      </c>
      <c r="E70" s="3">
        <v>5.43</v>
      </c>
      <c r="F70" s="3">
        <v>65221</v>
      </c>
      <c r="G70" s="3">
        <v>2.27</v>
      </c>
      <c r="H70" s="3">
        <v>11376</v>
      </c>
      <c r="I70" s="3">
        <v>3.65</v>
      </c>
      <c r="J70" s="3">
        <v>9034</v>
      </c>
      <c r="K70" s="3">
        <v>4.07</v>
      </c>
      <c r="L70" s="3">
        <v>4310</v>
      </c>
      <c r="M70" s="3">
        <v>2.76</v>
      </c>
      <c r="N70">
        <f t="shared" si="5"/>
        <v>8.2852611340689482</v>
      </c>
      <c r="O70">
        <f t="shared" si="5"/>
        <v>1.7047480922384253</v>
      </c>
      <c r="P70">
        <f t="shared" si="5"/>
        <v>7.6226639513235952</v>
      </c>
      <c r="Q70">
        <f t="shared" si="5"/>
        <v>1.6919391339458441</v>
      </c>
      <c r="R70">
        <f t="shared" si="4"/>
        <v>11.085536781945789</v>
      </c>
      <c r="S70">
        <f t="shared" si="2"/>
        <v>0.81977983149331135</v>
      </c>
      <c r="T70">
        <f t="shared" si="2"/>
        <v>9.3392611520430222</v>
      </c>
      <c r="U70">
        <f t="shared" si="2"/>
        <v>1.2947271675944001</v>
      </c>
      <c r="V70">
        <f t="shared" si="2"/>
        <v>9.108750516214549</v>
      </c>
      <c r="W70">
        <f t="shared" si="3"/>
        <v>1.4036429994545037</v>
      </c>
      <c r="X70">
        <f t="shared" si="3"/>
        <v>8.3686931830977933</v>
      </c>
      <c r="Y70">
        <f t="shared" si="3"/>
        <v>1.0152306797290584</v>
      </c>
    </row>
    <row r="71" spans="1:25" x14ac:dyDescent="0.15">
      <c r="A71" s="1" t="s">
        <v>69</v>
      </c>
      <c r="B71" s="3">
        <v>7680</v>
      </c>
      <c r="C71" s="3">
        <v>5.99</v>
      </c>
      <c r="D71" s="3">
        <v>1238</v>
      </c>
      <c r="E71" s="3">
        <v>5.96</v>
      </c>
      <c r="F71" s="3">
        <v>18378</v>
      </c>
      <c r="G71" s="3">
        <v>2.94</v>
      </c>
      <c r="H71" s="3">
        <v>32056</v>
      </c>
      <c r="I71" s="3">
        <v>2.2200000000000002</v>
      </c>
      <c r="J71" s="3">
        <v>6623</v>
      </c>
      <c r="K71" s="3">
        <v>4.43</v>
      </c>
      <c r="L71" s="3">
        <v>3340</v>
      </c>
      <c r="M71" s="3">
        <v>2.99</v>
      </c>
      <c r="N71">
        <f t="shared" si="5"/>
        <v>8.9463748261417173</v>
      </c>
      <c r="O71">
        <f t="shared" si="5"/>
        <v>1.7900914121273581</v>
      </c>
      <c r="P71">
        <f t="shared" si="5"/>
        <v>7.1212524532445416</v>
      </c>
      <c r="Q71">
        <f t="shared" si="5"/>
        <v>1.7850704810772584</v>
      </c>
      <c r="R71">
        <f t="shared" si="4"/>
        <v>9.8189095760608307</v>
      </c>
      <c r="S71">
        <f t="shared" si="2"/>
        <v>1.0784095813505903</v>
      </c>
      <c r="T71">
        <f t="shared" si="2"/>
        <v>10.375239652315981</v>
      </c>
      <c r="U71">
        <f t="shared" si="2"/>
        <v>0.79750719588418817</v>
      </c>
      <c r="V71">
        <f t="shared" si="2"/>
        <v>8.7983037184849788</v>
      </c>
      <c r="W71">
        <f t="shared" si="3"/>
        <v>1.4883995840570443</v>
      </c>
      <c r="X71">
        <f t="shared" si="3"/>
        <v>8.1137260859707467</v>
      </c>
      <c r="Y71">
        <f t="shared" si="3"/>
        <v>1.0952733874025951</v>
      </c>
    </row>
    <row r="72" spans="1:25" x14ac:dyDescent="0.15">
      <c r="A72" s="1" t="s">
        <v>70</v>
      </c>
      <c r="B72" s="3">
        <v>3364</v>
      </c>
      <c r="C72" s="3">
        <v>5.99</v>
      </c>
      <c r="D72" s="3">
        <v>1805</v>
      </c>
      <c r="E72" s="3">
        <v>5.99</v>
      </c>
      <c r="F72" s="3">
        <v>19698</v>
      </c>
      <c r="G72" s="3">
        <v>3</v>
      </c>
      <c r="H72" s="3">
        <v>7201</v>
      </c>
      <c r="I72" s="3">
        <v>4.4400000000000004</v>
      </c>
      <c r="J72" s="3">
        <v>27582</v>
      </c>
      <c r="K72" s="3">
        <v>3.33</v>
      </c>
      <c r="L72" s="3">
        <v>3954</v>
      </c>
      <c r="M72" s="3">
        <v>2.92</v>
      </c>
      <c r="N72">
        <f t="shared" si="5"/>
        <v>8.1208860210928382</v>
      </c>
      <c r="O72">
        <f t="shared" si="5"/>
        <v>1.7900914121273581</v>
      </c>
      <c r="P72">
        <f t="shared" si="5"/>
        <v>7.498315870766981</v>
      </c>
      <c r="Q72">
        <f t="shared" si="5"/>
        <v>1.7900914121273581</v>
      </c>
      <c r="R72">
        <f t="shared" si="4"/>
        <v>9.888272386729648</v>
      </c>
      <c r="S72">
        <f t="shared" si="2"/>
        <v>1.0986122886681098</v>
      </c>
      <c r="T72">
        <f t="shared" si="2"/>
        <v>8.8819751842488674</v>
      </c>
      <c r="U72">
        <f t="shared" si="2"/>
        <v>1.4906543764441336</v>
      </c>
      <c r="V72">
        <f t="shared" si="2"/>
        <v>10.224918665034282</v>
      </c>
      <c r="W72">
        <f t="shared" si="3"/>
        <v>1.2029723039923526</v>
      </c>
      <c r="X72">
        <f t="shared" si="3"/>
        <v>8.2824830037305617</v>
      </c>
      <c r="Y72">
        <f t="shared" si="3"/>
        <v>1.0715836162801904</v>
      </c>
    </row>
    <row r="73" spans="1:25" x14ac:dyDescent="0.15">
      <c r="A73" s="1" t="s">
        <v>71</v>
      </c>
      <c r="B73" s="3">
        <v>9467</v>
      </c>
      <c r="C73" s="3">
        <v>4.84</v>
      </c>
      <c r="D73" s="3">
        <v>1326</v>
      </c>
      <c r="E73" s="3">
        <v>5.99</v>
      </c>
      <c r="F73" s="3">
        <v>15756</v>
      </c>
      <c r="G73" s="3">
        <v>3</v>
      </c>
      <c r="H73" s="3">
        <v>5460</v>
      </c>
      <c r="I73" s="3">
        <v>4.4400000000000004</v>
      </c>
      <c r="J73" s="3">
        <v>6465</v>
      </c>
      <c r="K73" s="3">
        <v>4.3899999999999997</v>
      </c>
      <c r="L73" s="3">
        <v>6500</v>
      </c>
      <c r="M73" s="3">
        <v>2.4300000000000002</v>
      </c>
      <c r="N73">
        <f t="shared" si="5"/>
        <v>9.1555673461288904</v>
      </c>
      <c r="O73">
        <f t="shared" si="5"/>
        <v>1.5769147207285403</v>
      </c>
      <c r="P73">
        <f t="shared" si="5"/>
        <v>7.1899221707458079</v>
      </c>
      <c r="Q73">
        <f t="shared" si="5"/>
        <v>1.7900914121273581</v>
      </c>
      <c r="R73">
        <f t="shared" si="4"/>
        <v>9.6649765240907968</v>
      </c>
      <c r="S73">
        <f t="shared" si="2"/>
        <v>1.0986122886681098</v>
      </c>
      <c r="T73">
        <f t="shared" si="2"/>
        <v>8.6052040687389511</v>
      </c>
      <c r="U73">
        <f t="shared" si="2"/>
        <v>1.4906543764441336</v>
      </c>
      <c r="V73">
        <f t="shared" si="2"/>
        <v>8.774158291205957</v>
      </c>
      <c r="W73">
        <f t="shared" si="3"/>
        <v>1.4793292270870799</v>
      </c>
      <c r="X73">
        <f t="shared" si="3"/>
        <v>8.7795574558837277</v>
      </c>
      <c r="Y73">
        <f t="shared" si="3"/>
        <v>0.88789125735245711</v>
      </c>
    </row>
    <row r="74" spans="1:25" x14ac:dyDescent="0.15">
      <c r="A74" s="1" t="s">
        <v>72</v>
      </c>
      <c r="B74" s="3">
        <v>14775</v>
      </c>
      <c r="C74" s="3">
        <v>4.51</v>
      </c>
      <c r="D74" s="3">
        <v>1810</v>
      </c>
      <c r="E74" s="3">
        <v>5.91</v>
      </c>
      <c r="F74" s="3">
        <v>51328</v>
      </c>
      <c r="G74" s="3">
        <v>2.4900000000000002</v>
      </c>
      <c r="H74" s="3">
        <v>15470</v>
      </c>
      <c r="I74" s="3">
        <v>3.31</v>
      </c>
      <c r="J74" s="3">
        <v>6354</v>
      </c>
      <c r="K74" s="3">
        <v>4.42</v>
      </c>
      <c r="L74" s="3">
        <v>7300</v>
      </c>
      <c r="M74" s="3">
        <v>2.27</v>
      </c>
      <c r="N74">
        <f t="shared" si="5"/>
        <v>9.6006918422742995</v>
      </c>
      <c r="O74">
        <f t="shared" si="5"/>
        <v>1.506297153514587</v>
      </c>
      <c r="P74">
        <f t="shared" si="5"/>
        <v>7.5010821242598711</v>
      </c>
      <c r="Q74">
        <f t="shared" si="5"/>
        <v>1.7766458314180069</v>
      </c>
      <c r="R74">
        <f t="shared" si="4"/>
        <v>10.845991691226187</v>
      </c>
      <c r="S74">
        <f t="shared" si="2"/>
        <v>0.91228271047661635</v>
      </c>
      <c r="T74">
        <f t="shared" si="2"/>
        <v>9.6466579435671118</v>
      </c>
      <c r="U74">
        <f t="shared" si="2"/>
        <v>1.1969481893889715</v>
      </c>
      <c r="V74">
        <f t="shared" si="2"/>
        <v>8.7568398148294619</v>
      </c>
      <c r="W74">
        <f t="shared" si="3"/>
        <v>1.4861396960896067</v>
      </c>
      <c r="X74">
        <f t="shared" si="3"/>
        <v>8.8956296271364828</v>
      </c>
      <c r="Y74">
        <f t="shared" si="3"/>
        <v>0.81977983149331135</v>
      </c>
    </row>
    <row r="75" spans="1:25" x14ac:dyDescent="0.15">
      <c r="A75" s="1" t="s">
        <v>73</v>
      </c>
      <c r="B75" s="3">
        <v>13467</v>
      </c>
      <c r="C75" s="3">
        <v>4.67</v>
      </c>
      <c r="D75" s="3">
        <v>1775</v>
      </c>
      <c r="E75" s="3">
        <v>5.96</v>
      </c>
      <c r="F75" s="3">
        <v>19295</v>
      </c>
      <c r="G75" s="3">
        <v>2.93</v>
      </c>
      <c r="H75" s="3">
        <v>6605</v>
      </c>
      <c r="I75" s="3">
        <v>4.32</v>
      </c>
      <c r="J75" s="3">
        <v>6827</v>
      </c>
      <c r="K75" s="3">
        <v>4.41</v>
      </c>
      <c r="L75" s="3">
        <v>8048</v>
      </c>
      <c r="M75" s="3">
        <v>2.41</v>
      </c>
      <c r="N75">
        <f t="shared" si="5"/>
        <v>9.5079975274500423</v>
      </c>
      <c r="O75">
        <f t="shared" si="5"/>
        <v>1.5411590716808059</v>
      </c>
      <c r="P75">
        <f t="shared" si="5"/>
        <v>7.4815557019095165</v>
      </c>
      <c r="Q75">
        <f t="shared" si="5"/>
        <v>1.7850704810772584</v>
      </c>
      <c r="R75">
        <f t="shared" si="4"/>
        <v>9.8676012739717187</v>
      </c>
      <c r="S75">
        <f t="shared" si="2"/>
        <v>1.0750024230289761</v>
      </c>
      <c r="T75">
        <f t="shared" si="2"/>
        <v>8.7955822169564257</v>
      </c>
      <c r="U75">
        <f t="shared" si="2"/>
        <v>1.4632554022560189</v>
      </c>
      <c r="V75">
        <f t="shared" si="2"/>
        <v>8.8286406174182801</v>
      </c>
      <c r="W75">
        <f t="shared" si="3"/>
        <v>1.4838746894587547</v>
      </c>
      <c r="X75">
        <f t="shared" si="3"/>
        <v>8.9931788923395199</v>
      </c>
      <c r="Y75">
        <f t="shared" si="3"/>
        <v>0.87962674750256364</v>
      </c>
    </row>
    <row r="76" spans="1:25" x14ac:dyDescent="0.15">
      <c r="A76" s="1" t="s">
        <v>74</v>
      </c>
      <c r="B76" s="3">
        <v>3037</v>
      </c>
      <c r="C76" s="3">
        <v>5.95</v>
      </c>
      <c r="D76" s="3">
        <v>10635</v>
      </c>
      <c r="E76" s="3">
        <v>5.8</v>
      </c>
      <c r="F76" s="3">
        <v>16644</v>
      </c>
      <c r="G76" s="3">
        <v>2.99</v>
      </c>
      <c r="H76" s="3">
        <v>6150</v>
      </c>
      <c r="I76" s="3">
        <v>4.4400000000000004</v>
      </c>
      <c r="J76" s="3">
        <v>7265</v>
      </c>
      <c r="K76" s="3">
        <v>4.4400000000000004</v>
      </c>
      <c r="L76" s="3">
        <v>23331</v>
      </c>
      <c r="M76" s="3">
        <v>2.0099999999999998</v>
      </c>
      <c r="N76">
        <f t="shared" si="5"/>
        <v>8.0186254650457496</v>
      </c>
      <c r="O76">
        <f t="shared" si="5"/>
        <v>1.7833912195575383</v>
      </c>
      <c r="P76">
        <f t="shared" si="5"/>
        <v>9.2719057276343371</v>
      </c>
      <c r="Q76">
        <f t="shared" si="5"/>
        <v>1.7578579175523736</v>
      </c>
      <c r="R76">
        <f t="shared" si="4"/>
        <v>9.7198050701028311</v>
      </c>
      <c r="S76">
        <f t="shared" si="2"/>
        <v>1.0952733874025951</v>
      </c>
      <c r="T76">
        <f t="shared" si="2"/>
        <v>8.7242073608005644</v>
      </c>
      <c r="U76">
        <f t="shared" si="2"/>
        <v>1.4906543764441336</v>
      </c>
      <c r="V76">
        <f t="shared" si="2"/>
        <v>8.890823576004383</v>
      </c>
      <c r="W76">
        <f t="shared" si="3"/>
        <v>1.4906543764441336</v>
      </c>
      <c r="X76">
        <f t="shared" si="3"/>
        <v>10.057538227363054</v>
      </c>
      <c r="Y76">
        <f t="shared" si="3"/>
        <v>0.69813472207098426</v>
      </c>
    </row>
    <row r="77" spans="1:25" x14ac:dyDescent="0.15">
      <c r="A77" s="1" t="s">
        <v>75</v>
      </c>
      <c r="B77" s="3">
        <v>2949</v>
      </c>
      <c r="C77" s="3">
        <v>5.99</v>
      </c>
      <c r="D77" s="3">
        <v>26350</v>
      </c>
      <c r="E77" s="3">
        <v>5.74</v>
      </c>
      <c r="F77" s="3">
        <v>77287</v>
      </c>
      <c r="G77" s="3">
        <v>2.23</v>
      </c>
      <c r="H77" s="3">
        <v>4824</v>
      </c>
      <c r="I77" s="3">
        <v>4.4400000000000004</v>
      </c>
      <c r="J77" s="3">
        <v>5898</v>
      </c>
      <c r="K77" s="3">
        <v>4.4400000000000004</v>
      </c>
      <c r="L77" s="3">
        <v>4403</v>
      </c>
      <c r="M77" s="3">
        <v>2.74</v>
      </c>
      <c r="N77">
        <f t="shared" si="5"/>
        <v>7.9892214088152764</v>
      </c>
      <c r="O77">
        <f t="shared" si="5"/>
        <v>1.7900914121273581</v>
      </c>
      <c r="P77">
        <f t="shared" si="5"/>
        <v>10.179223553969509</v>
      </c>
      <c r="Q77">
        <f t="shared" si="5"/>
        <v>1.747459210331475</v>
      </c>
      <c r="R77">
        <f t="shared" si="4"/>
        <v>11.255281044494451</v>
      </c>
      <c r="S77">
        <f t="shared" si="2"/>
        <v>0.80200158547202738</v>
      </c>
      <c r="T77">
        <f t="shared" si="2"/>
        <v>8.481358738407021</v>
      </c>
      <c r="U77">
        <f t="shared" si="2"/>
        <v>1.4906543764441336</v>
      </c>
      <c r="V77">
        <f t="shared" si="2"/>
        <v>8.6823685893752209</v>
      </c>
      <c r="W77">
        <f t="shared" si="3"/>
        <v>1.4906543764441336</v>
      </c>
      <c r="X77">
        <f t="shared" si="3"/>
        <v>8.3900414057557544</v>
      </c>
      <c r="Y77">
        <f t="shared" si="3"/>
        <v>1.0079579203999789</v>
      </c>
    </row>
    <row r="78" spans="1:25" x14ac:dyDescent="0.15">
      <c r="A78" s="1" t="s">
        <v>76</v>
      </c>
      <c r="B78" s="3">
        <v>2862</v>
      </c>
      <c r="C78" s="3">
        <v>5.99</v>
      </c>
      <c r="D78" s="3">
        <v>20662</v>
      </c>
      <c r="E78" s="3">
        <v>5.79</v>
      </c>
      <c r="F78" s="3">
        <v>16644</v>
      </c>
      <c r="G78" s="3">
        <v>2.9</v>
      </c>
      <c r="H78" s="3">
        <v>5601</v>
      </c>
      <c r="I78" s="3">
        <v>4.4400000000000004</v>
      </c>
      <c r="J78" s="3">
        <v>23792</v>
      </c>
      <c r="K78" s="3">
        <v>3.34</v>
      </c>
      <c r="L78" s="3">
        <v>3673</v>
      </c>
      <c r="M78" s="3">
        <v>3</v>
      </c>
      <c r="N78">
        <f t="shared" si="5"/>
        <v>7.959275960116396</v>
      </c>
      <c r="O78">
        <f t="shared" si="5"/>
        <v>1.7900914121273581</v>
      </c>
      <c r="P78">
        <f t="shared" si="5"/>
        <v>9.9360515434093912</v>
      </c>
      <c r="Q78">
        <f t="shared" si="5"/>
        <v>1.7561322915849038</v>
      </c>
      <c r="R78">
        <f t="shared" si="4"/>
        <v>9.7198050701028311</v>
      </c>
      <c r="S78">
        <f t="shared" si="2"/>
        <v>1.0647107369924282</v>
      </c>
      <c r="T78">
        <f t="shared" si="2"/>
        <v>8.6307004322098315</v>
      </c>
      <c r="U78">
        <f t="shared" si="2"/>
        <v>1.4906543764441336</v>
      </c>
      <c r="V78">
        <f t="shared" si="2"/>
        <v>10.077104668699937</v>
      </c>
      <c r="W78">
        <f t="shared" si="3"/>
        <v>1.205970806988609</v>
      </c>
      <c r="X78">
        <f t="shared" si="3"/>
        <v>8.2087640458196667</v>
      </c>
      <c r="Y78">
        <f t="shared" si="3"/>
        <v>1.0986122886681098</v>
      </c>
    </row>
    <row r="79" spans="1:25" x14ac:dyDescent="0.15">
      <c r="A79" s="1" t="s">
        <v>77</v>
      </c>
      <c r="B79" s="3">
        <v>7493</v>
      </c>
      <c r="C79" s="3">
        <v>5.53</v>
      </c>
      <c r="D79" s="3">
        <v>2365</v>
      </c>
      <c r="E79" s="3">
        <v>5.99</v>
      </c>
      <c r="F79" s="3">
        <v>17059</v>
      </c>
      <c r="G79" s="3">
        <v>3</v>
      </c>
      <c r="H79" s="3">
        <v>52069</v>
      </c>
      <c r="I79" s="3">
        <v>2.5099999999999998</v>
      </c>
      <c r="J79" s="3">
        <v>6961</v>
      </c>
      <c r="K79" s="3">
        <v>4.32</v>
      </c>
      <c r="L79" s="3">
        <v>3732</v>
      </c>
      <c r="M79" s="3">
        <v>3</v>
      </c>
      <c r="N79">
        <f t="shared" si="5"/>
        <v>8.92172453036431</v>
      </c>
      <c r="O79">
        <f t="shared" si="5"/>
        <v>1.7101878155342434</v>
      </c>
      <c r="P79">
        <f t="shared" si="5"/>
        <v>7.7685333009260331</v>
      </c>
      <c r="Q79">
        <f t="shared" si="5"/>
        <v>1.7900914121273581</v>
      </c>
      <c r="R79">
        <f t="shared" si="4"/>
        <v>9.7444332026805203</v>
      </c>
      <c r="S79">
        <f t="shared" si="2"/>
        <v>1.0986122886681098</v>
      </c>
      <c r="T79">
        <f t="shared" si="2"/>
        <v>10.86032504105607</v>
      </c>
      <c r="U79">
        <f t="shared" si="2"/>
        <v>0.92028275314369246</v>
      </c>
      <c r="V79">
        <f t="shared" si="2"/>
        <v>8.8480784211686672</v>
      </c>
      <c r="W79">
        <f t="shared" si="3"/>
        <v>1.4632554022560189</v>
      </c>
      <c r="X79">
        <f t="shared" si="3"/>
        <v>8.2246995619672347</v>
      </c>
      <c r="Y79">
        <f t="shared" si="3"/>
        <v>1.0986122886681098</v>
      </c>
    </row>
    <row r="80" spans="1:25" x14ac:dyDescent="0.15">
      <c r="A80" s="1" t="s">
        <v>78</v>
      </c>
      <c r="B80" s="3">
        <v>12357</v>
      </c>
      <c r="C80" s="3">
        <v>5.29</v>
      </c>
      <c r="D80" s="3">
        <v>2126</v>
      </c>
      <c r="E80" s="3">
        <v>5.99</v>
      </c>
      <c r="F80" s="3">
        <v>18268</v>
      </c>
      <c r="G80" s="3">
        <v>3</v>
      </c>
      <c r="H80" s="3">
        <v>6313</v>
      </c>
      <c r="I80" s="3">
        <v>4.03</v>
      </c>
      <c r="J80" s="3">
        <v>7318</v>
      </c>
      <c r="K80" s="3">
        <v>4.4400000000000004</v>
      </c>
      <c r="L80" s="3">
        <v>15593</v>
      </c>
      <c r="M80" s="3">
        <v>2.23</v>
      </c>
      <c r="N80">
        <f t="shared" si="5"/>
        <v>9.4219779831041901</v>
      </c>
      <c r="O80">
        <f t="shared" si="5"/>
        <v>1.665818245870208</v>
      </c>
      <c r="P80">
        <f t="shared" si="5"/>
        <v>7.6619975589018932</v>
      </c>
      <c r="Q80">
        <f t="shared" si="5"/>
        <v>1.7900914121273581</v>
      </c>
      <c r="R80">
        <f t="shared" si="4"/>
        <v>9.8129061743048904</v>
      </c>
      <c r="S80">
        <f t="shared" si="2"/>
        <v>1.0986122886681098</v>
      </c>
      <c r="T80">
        <f t="shared" si="2"/>
        <v>8.7503662783676255</v>
      </c>
      <c r="U80">
        <f t="shared" si="2"/>
        <v>1.3937663759585917</v>
      </c>
      <c r="V80">
        <f t="shared" si="2"/>
        <v>8.898092345579153</v>
      </c>
      <c r="W80">
        <f t="shared" si="3"/>
        <v>1.4906543764441336</v>
      </c>
      <c r="X80">
        <f t="shared" si="3"/>
        <v>9.6545773745848855</v>
      </c>
      <c r="Y80">
        <f t="shared" si="3"/>
        <v>0.80200158547202738</v>
      </c>
    </row>
    <row r="81" spans="1:25" x14ac:dyDescent="0.15">
      <c r="A81" s="1" t="s">
        <v>79</v>
      </c>
      <c r="B81" s="3">
        <v>11032</v>
      </c>
      <c r="C81" s="3">
        <v>5.35</v>
      </c>
      <c r="D81" s="3">
        <v>2155</v>
      </c>
      <c r="E81" s="3">
        <v>5.99</v>
      </c>
      <c r="F81" s="3">
        <v>58756</v>
      </c>
      <c r="G81" s="3">
        <v>2.5</v>
      </c>
      <c r="H81" s="3">
        <v>5828</v>
      </c>
      <c r="I81" s="3">
        <v>4.4000000000000004</v>
      </c>
      <c r="J81" s="3">
        <v>7061</v>
      </c>
      <c r="K81" s="3">
        <v>4.4400000000000004</v>
      </c>
      <c r="L81" s="3">
        <v>4894</v>
      </c>
      <c r="M81" s="3">
        <v>2.91</v>
      </c>
      <c r="N81">
        <f t="shared" si="5"/>
        <v>9.3085554194731372</v>
      </c>
      <c r="O81">
        <f t="shared" si="5"/>
        <v>1.6770965609079151</v>
      </c>
      <c r="P81">
        <f t="shared" si="5"/>
        <v>7.6755460025378479</v>
      </c>
      <c r="Q81">
        <f t="shared" si="5"/>
        <v>1.7900914121273581</v>
      </c>
      <c r="R81">
        <f t="shared" si="4"/>
        <v>10.981148554451305</v>
      </c>
      <c r="S81">
        <f t="shared" si="2"/>
        <v>0.91629073187415511</v>
      </c>
      <c r="T81">
        <f t="shared" si="2"/>
        <v>8.6704291673150955</v>
      </c>
      <c r="U81">
        <f t="shared" si="2"/>
        <v>1.4816045409242156</v>
      </c>
      <c r="V81">
        <f t="shared" ref="V81:Y144" si="6">LN(J81)</f>
        <v>8.8623419635163465</v>
      </c>
      <c r="W81">
        <f t="shared" si="3"/>
        <v>1.4906543764441336</v>
      </c>
      <c r="X81">
        <f t="shared" si="3"/>
        <v>8.4957652440026177</v>
      </c>
      <c r="Y81">
        <f t="shared" si="3"/>
        <v>1.0681530811834012</v>
      </c>
    </row>
    <row r="82" spans="1:25" x14ac:dyDescent="0.15">
      <c r="A82" s="1" t="s">
        <v>80</v>
      </c>
      <c r="B82" s="3">
        <v>3241</v>
      </c>
      <c r="C82" s="3">
        <v>5.96</v>
      </c>
      <c r="D82" s="3">
        <v>2418</v>
      </c>
      <c r="E82" s="3">
        <v>5.99</v>
      </c>
      <c r="F82" s="3">
        <v>17719</v>
      </c>
      <c r="G82" s="3">
        <v>2.96</v>
      </c>
      <c r="H82" s="3">
        <v>17298</v>
      </c>
      <c r="I82" s="3">
        <v>3.34</v>
      </c>
      <c r="J82" s="3">
        <v>6477</v>
      </c>
      <c r="K82" s="3">
        <v>4.41</v>
      </c>
      <c r="L82" s="3">
        <v>4006</v>
      </c>
      <c r="M82" s="3">
        <v>2.99</v>
      </c>
      <c r="N82">
        <f t="shared" si="5"/>
        <v>8.0836372031415475</v>
      </c>
      <c r="O82">
        <f t="shared" si="5"/>
        <v>1.7850704810772584</v>
      </c>
      <c r="P82">
        <f t="shared" si="5"/>
        <v>7.790696031174738</v>
      </c>
      <c r="Q82">
        <f t="shared" si="5"/>
        <v>1.7900914121273581</v>
      </c>
      <c r="R82">
        <f t="shared" si="4"/>
        <v>9.7823927891580702</v>
      </c>
      <c r="S82">
        <f t="shared" si="4"/>
        <v>1.085189268335969</v>
      </c>
      <c r="T82">
        <f t="shared" si="4"/>
        <v>9.7583461668664579</v>
      </c>
      <c r="U82">
        <f t="shared" si="4"/>
        <v>1.205970806988609</v>
      </c>
      <c r="V82">
        <f t="shared" si="6"/>
        <v>8.7760127191829174</v>
      </c>
      <c r="W82">
        <f t="shared" si="6"/>
        <v>1.4838746894587547</v>
      </c>
      <c r="X82">
        <f t="shared" si="6"/>
        <v>8.2955485162257627</v>
      </c>
      <c r="Y82">
        <f t="shared" si="6"/>
        <v>1.0952733874025951</v>
      </c>
    </row>
    <row r="83" spans="1:25" x14ac:dyDescent="0.15">
      <c r="A83" s="1" t="s">
        <v>81</v>
      </c>
      <c r="B83" s="3">
        <v>2809</v>
      </c>
      <c r="C83" s="3">
        <v>5.99</v>
      </c>
      <c r="D83" s="3">
        <v>6868</v>
      </c>
      <c r="E83" s="3">
        <v>4.45</v>
      </c>
      <c r="F83" s="3">
        <v>17853</v>
      </c>
      <c r="G83" s="3">
        <v>3</v>
      </c>
      <c r="H83" s="3">
        <v>6062</v>
      </c>
      <c r="I83" s="3">
        <v>4.38</v>
      </c>
      <c r="J83" s="3">
        <v>23979</v>
      </c>
      <c r="K83" s="3">
        <v>3.34</v>
      </c>
      <c r="L83" s="3">
        <v>14594</v>
      </c>
      <c r="M83" s="3">
        <v>2.23</v>
      </c>
      <c r="N83">
        <f t="shared" si="5"/>
        <v>7.9405838271042439</v>
      </c>
      <c r="O83">
        <f t="shared" si="5"/>
        <v>1.7900914121273581</v>
      </c>
      <c r="P83">
        <f t="shared" si="5"/>
        <v>8.8346282220173666</v>
      </c>
      <c r="Q83">
        <f t="shared" si="5"/>
        <v>1.4929040961781488</v>
      </c>
      <c r="R83">
        <f t="shared" si="4"/>
        <v>9.7899268403129618</v>
      </c>
      <c r="S83">
        <f t="shared" si="4"/>
        <v>1.0986122886681098</v>
      </c>
      <c r="T83">
        <f t="shared" si="4"/>
        <v>8.7097950576177485</v>
      </c>
      <c r="U83">
        <f t="shared" si="4"/>
        <v>1.4770487243883548</v>
      </c>
      <c r="V83">
        <f t="shared" si="6"/>
        <v>10.084933726294128</v>
      </c>
      <c r="W83">
        <f t="shared" si="6"/>
        <v>1.205970806988609</v>
      </c>
      <c r="X83">
        <f t="shared" si="6"/>
        <v>9.588365764325566</v>
      </c>
      <c r="Y83">
        <f t="shared" si="6"/>
        <v>0.80200158547202738</v>
      </c>
    </row>
    <row r="84" spans="1:25" x14ac:dyDescent="0.15">
      <c r="A84" s="1" t="s">
        <v>82</v>
      </c>
      <c r="B84" s="3">
        <v>2862</v>
      </c>
      <c r="C84" s="3">
        <v>5.99</v>
      </c>
      <c r="D84" s="3">
        <v>3054</v>
      </c>
      <c r="E84" s="3">
        <v>4.97</v>
      </c>
      <c r="F84" s="3">
        <v>14950</v>
      </c>
      <c r="G84" s="3">
        <v>3</v>
      </c>
      <c r="H84" s="3">
        <v>51339</v>
      </c>
      <c r="I84" s="3">
        <v>2.5</v>
      </c>
      <c r="J84" s="3">
        <v>7633</v>
      </c>
      <c r="K84" s="3">
        <v>4.33</v>
      </c>
      <c r="L84" s="3">
        <v>3714</v>
      </c>
      <c r="M84" s="3">
        <v>2.87</v>
      </c>
      <c r="N84">
        <f t="shared" si="5"/>
        <v>7.959275960116396</v>
      </c>
      <c r="O84">
        <f t="shared" si="5"/>
        <v>1.7900914121273581</v>
      </c>
      <c r="P84">
        <f t="shared" si="5"/>
        <v>8.024207485778577</v>
      </c>
      <c r="Q84">
        <f t="shared" si="5"/>
        <v>1.6034198401085373</v>
      </c>
      <c r="R84">
        <f t="shared" si="4"/>
        <v>9.6124665788188324</v>
      </c>
      <c r="S84">
        <f t="shared" si="4"/>
        <v>1.0986122886681098</v>
      </c>
      <c r="T84">
        <f t="shared" si="4"/>
        <v>10.846205976245562</v>
      </c>
      <c r="U84">
        <f t="shared" si="4"/>
        <v>0.91629073187415511</v>
      </c>
      <c r="V84">
        <f t="shared" si="6"/>
        <v>8.9402362317984707</v>
      </c>
      <c r="W84">
        <f t="shared" si="6"/>
        <v>1.4655675420143985</v>
      </c>
      <c r="X84">
        <f t="shared" si="6"/>
        <v>8.2198647419126516</v>
      </c>
      <c r="Y84">
        <f t="shared" si="6"/>
        <v>1.0543120297715298</v>
      </c>
    </row>
    <row r="85" spans="1:25" x14ac:dyDescent="0.15">
      <c r="A85" s="1" t="s">
        <v>83</v>
      </c>
      <c r="B85" s="3">
        <v>2844</v>
      </c>
      <c r="C85" s="3">
        <v>5.99</v>
      </c>
      <c r="D85" s="3">
        <v>1991</v>
      </c>
      <c r="E85" s="3">
        <v>5.95</v>
      </c>
      <c r="F85" s="3">
        <v>14863</v>
      </c>
      <c r="G85" s="3">
        <v>2.99</v>
      </c>
      <c r="H85" s="3">
        <v>5822</v>
      </c>
      <c r="I85" s="3">
        <v>4.0599999999999996</v>
      </c>
      <c r="J85" s="3">
        <v>6167</v>
      </c>
      <c r="K85" s="3">
        <v>4.4400000000000004</v>
      </c>
      <c r="L85" s="3">
        <v>3954</v>
      </c>
      <c r="M85" s="3">
        <v>3</v>
      </c>
      <c r="N85">
        <f t="shared" si="5"/>
        <v>7.9529667909231314</v>
      </c>
      <c r="O85">
        <f t="shared" si="5"/>
        <v>1.7900914121273581</v>
      </c>
      <c r="P85">
        <f t="shared" si="5"/>
        <v>7.5963923040641959</v>
      </c>
      <c r="Q85">
        <f t="shared" si="5"/>
        <v>1.7833912195575383</v>
      </c>
      <c r="R85">
        <f t="shared" si="4"/>
        <v>9.6066301821488942</v>
      </c>
      <c r="S85">
        <f t="shared" si="4"/>
        <v>1.0952733874025951</v>
      </c>
      <c r="T85">
        <f t="shared" si="4"/>
        <v>8.6693991243055688</v>
      </c>
      <c r="U85">
        <f t="shared" si="4"/>
        <v>1.4011829736136412</v>
      </c>
      <c r="V85">
        <f t="shared" si="6"/>
        <v>8.7269677749914933</v>
      </c>
      <c r="W85">
        <f t="shared" si="6"/>
        <v>1.4906543764441336</v>
      </c>
      <c r="X85">
        <f t="shared" si="6"/>
        <v>8.2824830037305617</v>
      </c>
      <c r="Y85">
        <f t="shared" si="6"/>
        <v>1.0986122886681098</v>
      </c>
    </row>
    <row r="86" spans="1:25" x14ac:dyDescent="0.15">
      <c r="A86" s="1" t="s">
        <v>84</v>
      </c>
      <c r="B86" s="3">
        <v>3013</v>
      </c>
      <c r="C86" s="3">
        <v>5.99</v>
      </c>
      <c r="D86" s="3">
        <v>1840</v>
      </c>
      <c r="E86" s="3">
        <v>5.99</v>
      </c>
      <c r="F86" s="3">
        <v>55906</v>
      </c>
      <c r="G86" s="3">
        <v>2.5</v>
      </c>
      <c r="H86" s="3">
        <v>5653</v>
      </c>
      <c r="I86" s="3">
        <v>4.4400000000000004</v>
      </c>
      <c r="J86" s="3">
        <v>7312</v>
      </c>
      <c r="K86" s="3">
        <v>4.4400000000000004</v>
      </c>
      <c r="L86" s="3">
        <v>3802</v>
      </c>
      <c r="M86" s="3">
        <v>3</v>
      </c>
      <c r="N86">
        <f t="shared" si="5"/>
        <v>8.0106915391303009</v>
      </c>
      <c r="O86">
        <f t="shared" si="5"/>
        <v>1.7900914121273581</v>
      </c>
      <c r="P86">
        <f t="shared" si="5"/>
        <v>7.5175208506030309</v>
      </c>
      <c r="Q86">
        <f t="shared" si="5"/>
        <v>1.7900914121273581</v>
      </c>
      <c r="R86">
        <f t="shared" si="4"/>
        <v>10.931426987909191</v>
      </c>
      <c r="S86">
        <f t="shared" si="4"/>
        <v>0.91629073187415511</v>
      </c>
      <c r="T86">
        <f t="shared" si="4"/>
        <v>8.6399416566752905</v>
      </c>
      <c r="U86">
        <f t="shared" si="4"/>
        <v>1.4906543764441336</v>
      </c>
      <c r="V86">
        <f t="shared" si="6"/>
        <v>8.8972721131339867</v>
      </c>
      <c r="W86">
        <f t="shared" si="6"/>
        <v>1.4906543764441336</v>
      </c>
      <c r="X86">
        <f t="shared" si="6"/>
        <v>8.2432825230483751</v>
      </c>
      <c r="Y86">
        <f t="shared" si="6"/>
        <v>1.0986122886681098</v>
      </c>
    </row>
    <row r="87" spans="1:25" x14ac:dyDescent="0.15">
      <c r="A87" s="1" t="s">
        <v>85</v>
      </c>
      <c r="B87" s="3">
        <v>2862</v>
      </c>
      <c r="C87" s="3">
        <v>5.99</v>
      </c>
      <c r="D87" s="3">
        <v>1653</v>
      </c>
      <c r="E87" s="3">
        <v>5.92</v>
      </c>
      <c r="F87" s="3">
        <v>17240</v>
      </c>
      <c r="G87" s="3">
        <v>2.97</v>
      </c>
      <c r="H87" s="3">
        <v>4946</v>
      </c>
      <c r="I87" s="3">
        <v>4.4400000000000004</v>
      </c>
      <c r="J87" s="3">
        <v>27454</v>
      </c>
      <c r="K87" s="3">
        <v>3.33</v>
      </c>
      <c r="L87" s="3">
        <v>3615</v>
      </c>
      <c r="M87" s="3">
        <v>2.97</v>
      </c>
      <c r="N87">
        <f t="shared" si="5"/>
        <v>7.959275960116396</v>
      </c>
      <c r="O87">
        <f t="shared" si="5"/>
        <v>1.7900914121273581</v>
      </c>
      <c r="P87">
        <f t="shared" si="5"/>
        <v>7.410347097821024</v>
      </c>
      <c r="Q87">
        <f t="shared" si="5"/>
        <v>1.7783364488959144</v>
      </c>
      <c r="R87">
        <f t="shared" si="4"/>
        <v>9.7549875442176841</v>
      </c>
      <c r="S87">
        <f t="shared" si="4"/>
        <v>1.0885619528146082</v>
      </c>
      <c r="T87">
        <f t="shared" si="4"/>
        <v>8.5063344480813612</v>
      </c>
      <c r="U87">
        <f t="shared" si="4"/>
        <v>1.4906543764441336</v>
      </c>
      <c r="V87">
        <f t="shared" si="6"/>
        <v>10.220267155811605</v>
      </c>
      <c r="W87">
        <f t="shared" si="6"/>
        <v>1.2029723039923526</v>
      </c>
      <c r="X87">
        <f t="shared" si="6"/>
        <v>8.1928471345928653</v>
      </c>
      <c r="Y87">
        <f t="shared" si="6"/>
        <v>1.0885619528146082</v>
      </c>
    </row>
    <row r="88" spans="1:25" x14ac:dyDescent="0.15">
      <c r="A88" s="1" t="s">
        <v>86</v>
      </c>
      <c r="B88" s="3">
        <v>2850</v>
      </c>
      <c r="C88" s="3">
        <v>5.99</v>
      </c>
      <c r="D88" s="3">
        <v>5209</v>
      </c>
      <c r="E88" s="3">
        <v>4.51</v>
      </c>
      <c r="F88" s="3">
        <v>17538</v>
      </c>
      <c r="G88" s="3">
        <v>2.99</v>
      </c>
      <c r="H88" s="3">
        <v>4911</v>
      </c>
      <c r="I88" s="3">
        <v>4.41</v>
      </c>
      <c r="J88" s="3">
        <v>7750</v>
      </c>
      <c r="K88" s="3">
        <v>4.3</v>
      </c>
      <c r="L88" s="3">
        <v>13765</v>
      </c>
      <c r="M88" s="3">
        <v>2.23</v>
      </c>
      <c r="N88">
        <f t="shared" si="5"/>
        <v>7.9550742732626958</v>
      </c>
      <c r="O88">
        <f t="shared" si="5"/>
        <v>1.7900914121273581</v>
      </c>
      <c r="P88">
        <f t="shared" si="5"/>
        <v>8.5581431777451922</v>
      </c>
      <c r="Q88">
        <f t="shared" si="5"/>
        <v>1.506297153514587</v>
      </c>
      <c r="R88">
        <f t="shared" si="4"/>
        <v>9.7721252343393008</v>
      </c>
      <c r="S88">
        <f t="shared" si="4"/>
        <v>1.0952733874025951</v>
      </c>
      <c r="T88">
        <f t="shared" si="4"/>
        <v>8.4992328660392449</v>
      </c>
      <c r="U88">
        <f t="shared" si="4"/>
        <v>1.4838746894587547</v>
      </c>
      <c r="V88">
        <f t="shared" si="6"/>
        <v>8.9554481223473932</v>
      </c>
      <c r="W88">
        <f t="shared" si="6"/>
        <v>1.4586150226995167</v>
      </c>
      <c r="X88">
        <f t="shared" si="6"/>
        <v>9.5298844175767083</v>
      </c>
      <c r="Y88">
        <f t="shared" si="6"/>
        <v>0.80200158547202738</v>
      </c>
    </row>
    <row r="89" spans="1:25" x14ac:dyDescent="0.15">
      <c r="A89" s="1" t="s">
        <v>87</v>
      </c>
      <c r="B89" s="3">
        <v>2943</v>
      </c>
      <c r="C89" s="3">
        <v>5.99</v>
      </c>
      <c r="D89" s="3">
        <v>1816</v>
      </c>
      <c r="E89" s="3">
        <v>5.88</v>
      </c>
      <c r="F89" s="3">
        <v>45943</v>
      </c>
      <c r="G89" s="3">
        <v>2.5099999999999998</v>
      </c>
      <c r="H89" s="3">
        <v>15225</v>
      </c>
      <c r="I89" s="3">
        <v>3.34</v>
      </c>
      <c r="J89" s="3">
        <v>6909</v>
      </c>
      <c r="K89" s="3">
        <v>4.4400000000000004</v>
      </c>
      <c r="L89" s="3">
        <v>3586</v>
      </c>
      <c r="M89" s="3">
        <v>2.85</v>
      </c>
      <c r="N89">
        <f t="shared" si="5"/>
        <v>7.9871847482334726</v>
      </c>
      <c r="O89">
        <f t="shared" si="5"/>
        <v>1.7900914121273581</v>
      </c>
      <c r="P89">
        <f t="shared" si="5"/>
        <v>7.5043915591612382</v>
      </c>
      <c r="Q89">
        <f t="shared" si="5"/>
        <v>1.7715567619105355</v>
      </c>
      <c r="R89">
        <f t="shared" si="4"/>
        <v>10.735156776679537</v>
      </c>
      <c r="S89">
        <f t="shared" si="4"/>
        <v>0.92028275314369246</v>
      </c>
      <c r="T89">
        <f t="shared" si="4"/>
        <v>9.6306940925780982</v>
      </c>
      <c r="U89">
        <f t="shared" si="4"/>
        <v>1.205970806988609</v>
      </c>
      <c r="V89">
        <f t="shared" si="6"/>
        <v>8.8405801884887953</v>
      </c>
      <c r="W89">
        <f t="shared" si="6"/>
        <v>1.4906543764441336</v>
      </c>
      <c r="X89">
        <f t="shared" si="6"/>
        <v>8.1847926541650775</v>
      </c>
      <c r="Y89">
        <f t="shared" si="6"/>
        <v>1.0473189942805592</v>
      </c>
    </row>
    <row r="90" spans="1:25" x14ac:dyDescent="0.15">
      <c r="A90" s="1" t="s">
        <v>88</v>
      </c>
      <c r="B90" s="3">
        <v>7411</v>
      </c>
      <c r="C90" s="3">
        <v>4.97</v>
      </c>
      <c r="D90" s="3">
        <v>1524</v>
      </c>
      <c r="E90" s="3">
        <v>5.95</v>
      </c>
      <c r="F90" s="3">
        <v>16323</v>
      </c>
      <c r="G90" s="3">
        <v>2.96</v>
      </c>
      <c r="H90" s="3">
        <v>9326</v>
      </c>
      <c r="I90" s="3">
        <v>3.58</v>
      </c>
      <c r="J90" s="3">
        <v>6214</v>
      </c>
      <c r="K90" s="3">
        <v>4.4400000000000004</v>
      </c>
      <c r="L90" s="3">
        <v>3679</v>
      </c>
      <c r="M90" s="3">
        <v>3</v>
      </c>
      <c r="N90">
        <f t="shared" si="5"/>
        <v>8.910720661951359</v>
      </c>
      <c r="O90">
        <f t="shared" si="5"/>
        <v>1.6034198401085373</v>
      </c>
      <c r="P90">
        <f t="shared" si="5"/>
        <v>7.329093736246592</v>
      </c>
      <c r="Q90">
        <f t="shared" si="5"/>
        <v>1.7833912195575383</v>
      </c>
      <c r="R90">
        <f t="shared" si="4"/>
        <v>9.7003304351540347</v>
      </c>
      <c r="S90">
        <f t="shared" si="4"/>
        <v>1.085189268335969</v>
      </c>
      <c r="T90">
        <f t="shared" si="4"/>
        <v>9.1405614773682657</v>
      </c>
      <c r="U90">
        <f t="shared" si="4"/>
        <v>1.275362800412609</v>
      </c>
      <c r="V90">
        <f t="shared" si="6"/>
        <v>8.7345600899529927</v>
      </c>
      <c r="W90">
        <f t="shared" si="6"/>
        <v>1.4906543764441336</v>
      </c>
      <c r="X90">
        <f t="shared" si="6"/>
        <v>8.210396255104774</v>
      </c>
      <c r="Y90">
        <f t="shared" si="6"/>
        <v>1.0986122886681098</v>
      </c>
    </row>
    <row r="91" spans="1:25" x14ac:dyDescent="0.15">
      <c r="A91" s="1" t="s">
        <v>89</v>
      </c>
      <c r="B91" s="3">
        <v>11984</v>
      </c>
      <c r="C91" s="3">
        <v>4.72</v>
      </c>
      <c r="D91" s="3">
        <v>1483</v>
      </c>
      <c r="E91" s="3">
        <v>5.99</v>
      </c>
      <c r="F91" s="3">
        <v>71902</v>
      </c>
      <c r="G91" s="3">
        <v>2.23</v>
      </c>
      <c r="H91" s="3">
        <v>10127</v>
      </c>
      <c r="I91" s="3">
        <v>3.49</v>
      </c>
      <c r="J91" s="3">
        <v>6231</v>
      </c>
      <c r="K91" s="3">
        <v>4.4400000000000004</v>
      </c>
      <c r="L91" s="3">
        <v>3329</v>
      </c>
      <c r="M91" s="3">
        <v>3</v>
      </c>
      <c r="N91">
        <f t="shared" si="5"/>
        <v>9.3913277057569999</v>
      </c>
      <c r="O91">
        <f t="shared" si="5"/>
        <v>1.5518087995974639</v>
      </c>
      <c r="P91">
        <f t="shared" si="5"/>
        <v>7.3018223421379318</v>
      </c>
      <c r="Q91">
        <f t="shared" si="5"/>
        <v>1.7900914121273581</v>
      </c>
      <c r="R91">
        <f t="shared" si="4"/>
        <v>11.183059359733951</v>
      </c>
      <c r="S91">
        <f t="shared" si="4"/>
        <v>0.80200158547202738</v>
      </c>
      <c r="T91">
        <f t="shared" si="4"/>
        <v>9.2229604033322854</v>
      </c>
      <c r="U91">
        <f t="shared" si="4"/>
        <v>1.2499017362143359</v>
      </c>
      <c r="V91">
        <f t="shared" si="6"/>
        <v>8.7372921125442211</v>
      </c>
      <c r="W91">
        <f t="shared" si="6"/>
        <v>1.4906543764441336</v>
      </c>
      <c r="X91">
        <f t="shared" si="6"/>
        <v>8.1104272375750242</v>
      </c>
      <c r="Y91">
        <f t="shared" si="6"/>
        <v>1.0986122886681098</v>
      </c>
    </row>
    <row r="92" spans="1:25" x14ac:dyDescent="0.15">
      <c r="A92" s="1" t="s">
        <v>90</v>
      </c>
      <c r="B92" s="3">
        <v>10483</v>
      </c>
      <c r="C92" s="3">
        <v>4.76</v>
      </c>
      <c r="D92" s="3">
        <v>1478</v>
      </c>
      <c r="E92" s="3">
        <v>5.93</v>
      </c>
      <c r="F92" s="3">
        <v>17993</v>
      </c>
      <c r="G92" s="3">
        <v>2.91</v>
      </c>
      <c r="H92" s="3">
        <v>9665</v>
      </c>
      <c r="I92" s="3">
        <v>3.58</v>
      </c>
      <c r="J92" s="3">
        <v>7493</v>
      </c>
      <c r="K92" s="3">
        <v>4.42</v>
      </c>
      <c r="L92" s="3">
        <v>16761</v>
      </c>
      <c r="M92" s="3">
        <v>2.23</v>
      </c>
      <c r="N92">
        <f t="shared" si="5"/>
        <v>9.2575101764525733</v>
      </c>
      <c r="O92">
        <f t="shared" si="5"/>
        <v>1.5602476682433286</v>
      </c>
      <c r="P92">
        <f t="shared" si="5"/>
        <v>7.2984451015081468</v>
      </c>
      <c r="Q92">
        <f t="shared" si="5"/>
        <v>1.780024213009634</v>
      </c>
      <c r="R92">
        <f t="shared" si="4"/>
        <v>9.7977380723525194</v>
      </c>
      <c r="S92">
        <f t="shared" si="4"/>
        <v>1.0681530811834012</v>
      </c>
      <c r="T92">
        <f t="shared" si="4"/>
        <v>9.1762663916424305</v>
      </c>
      <c r="U92">
        <f t="shared" si="4"/>
        <v>1.275362800412609</v>
      </c>
      <c r="V92">
        <f t="shared" si="6"/>
        <v>8.92172453036431</v>
      </c>
      <c r="W92">
        <f t="shared" si="6"/>
        <v>1.4861396960896067</v>
      </c>
      <c r="X92">
        <f t="shared" si="6"/>
        <v>9.7268100381272582</v>
      </c>
      <c r="Y92">
        <f t="shared" si="6"/>
        <v>0.80200158547202738</v>
      </c>
    </row>
    <row r="93" spans="1:25" x14ac:dyDescent="0.15">
      <c r="A93" s="1" t="s">
        <v>91</v>
      </c>
      <c r="B93" s="3">
        <v>3134</v>
      </c>
      <c r="C93" s="3">
        <v>5.96</v>
      </c>
      <c r="D93" s="3">
        <v>7787</v>
      </c>
      <c r="E93" s="3">
        <v>4.46</v>
      </c>
      <c r="F93" s="3">
        <v>19638</v>
      </c>
      <c r="G93" s="3">
        <v>2.98</v>
      </c>
      <c r="H93" s="3">
        <v>8126</v>
      </c>
      <c r="I93" s="3">
        <v>3.62</v>
      </c>
      <c r="J93" s="3">
        <v>27061</v>
      </c>
      <c r="K93" s="3">
        <v>3.34</v>
      </c>
      <c r="L93" s="3">
        <v>4785</v>
      </c>
      <c r="M93" s="3">
        <v>2.87</v>
      </c>
      <c r="N93">
        <f t="shared" si="5"/>
        <v>8.0500654229159654</v>
      </c>
      <c r="O93">
        <f t="shared" si="5"/>
        <v>1.7850704810772584</v>
      </c>
      <c r="P93">
        <f t="shared" si="5"/>
        <v>8.9602109555769864</v>
      </c>
      <c r="Q93">
        <f t="shared" si="5"/>
        <v>1.4951487660319727</v>
      </c>
      <c r="R93">
        <f t="shared" si="4"/>
        <v>9.885221743729236</v>
      </c>
      <c r="S93">
        <f t="shared" si="4"/>
        <v>1.091923300517313</v>
      </c>
      <c r="T93">
        <f t="shared" si="4"/>
        <v>9.0028240765476717</v>
      </c>
      <c r="U93">
        <f t="shared" si="4"/>
        <v>1.2864740258376797</v>
      </c>
      <c r="V93">
        <f t="shared" si="6"/>
        <v>10.205848855956967</v>
      </c>
      <c r="W93">
        <f t="shared" si="6"/>
        <v>1.205970806988609</v>
      </c>
      <c r="X93">
        <f t="shared" si="6"/>
        <v>8.473241303887054</v>
      </c>
      <c r="Y93">
        <f t="shared" si="6"/>
        <v>1.0543120297715298</v>
      </c>
    </row>
    <row r="94" spans="1:25" x14ac:dyDescent="0.15">
      <c r="A94" s="1" t="s">
        <v>92</v>
      </c>
      <c r="B94" s="3">
        <v>3467</v>
      </c>
      <c r="C94" s="3">
        <v>5.99</v>
      </c>
      <c r="D94" s="3">
        <v>2267</v>
      </c>
      <c r="E94" s="3">
        <v>5.73</v>
      </c>
      <c r="F94" s="3">
        <v>56438</v>
      </c>
      <c r="G94" s="3">
        <v>2.5</v>
      </c>
      <c r="H94" s="3">
        <v>5281</v>
      </c>
      <c r="I94" s="3">
        <v>4.43</v>
      </c>
      <c r="J94" s="3">
        <v>7787</v>
      </c>
      <c r="K94" s="3">
        <v>4.28</v>
      </c>
      <c r="L94" s="3">
        <v>4139</v>
      </c>
      <c r="M94" s="3">
        <v>3</v>
      </c>
      <c r="N94">
        <f t="shared" si="5"/>
        <v>8.1510449456850242</v>
      </c>
      <c r="O94">
        <f t="shared" si="5"/>
        <v>1.7900914121273581</v>
      </c>
      <c r="P94">
        <f t="shared" si="5"/>
        <v>7.726212650507529</v>
      </c>
      <c r="Q94">
        <f t="shared" si="5"/>
        <v>1.7457155307266483</v>
      </c>
      <c r="R94">
        <f t="shared" si="4"/>
        <v>10.940897969477794</v>
      </c>
      <c r="S94">
        <f t="shared" si="4"/>
        <v>0.91629073187415511</v>
      </c>
      <c r="T94">
        <f t="shared" si="4"/>
        <v>8.5718707527069338</v>
      </c>
      <c r="U94">
        <f t="shared" si="4"/>
        <v>1.4883995840570443</v>
      </c>
      <c r="V94">
        <f t="shared" si="6"/>
        <v>8.9602109555769864</v>
      </c>
      <c r="W94">
        <f t="shared" si="6"/>
        <v>1.4539530095937054</v>
      </c>
      <c r="X94">
        <f t="shared" si="6"/>
        <v>8.3282094917487317</v>
      </c>
      <c r="Y94">
        <f t="shared" si="6"/>
        <v>1.0986122886681098</v>
      </c>
    </row>
    <row r="95" spans="1:25" x14ac:dyDescent="0.15">
      <c r="A95" s="1" t="s">
        <v>93</v>
      </c>
      <c r="B95" s="3">
        <v>3284</v>
      </c>
      <c r="C95" s="3">
        <v>5.99</v>
      </c>
      <c r="D95" s="3">
        <v>1928</v>
      </c>
      <c r="E95" s="3">
        <v>5.88</v>
      </c>
      <c r="F95" s="3">
        <v>20014</v>
      </c>
      <c r="G95" s="3">
        <v>2.94</v>
      </c>
      <c r="H95" s="3">
        <v>24542</v>
      </c>
      <c r="I95" s="3">
        <v>3.3</v>
      </c>
      <c r="J95" s="3">
        <v>7398</v>
      </c>
      <c r="K95" s="3">
        <v>4.4400000000000004</v>
      </c>
      <c r="L95" s="3">
        <v>4000</v>
      </c>
      <c r="M95" s="3">
        <v>2.89</v>
      </c>
      <c r="N95">
        <f t="shared" si="5"/>
        <v>8.0968174705723186</v>
      </c>
      <c r="O95">
        <f t="shared" si="5"/>
        <v>1.7900914121273581</v>
      </c>
      <c r="P95">
        <f t="shared" si="5"/>
        <v>7.564238475170491</v>
      </c>
      <c r="Q95">
        <f t="shared" si="5"/>
        <v>1.7715567619105355</v>
      </c>
      <c r="R95">
        <f t="shared" si="4"/>
        <v>9.9041873076504015</v>
      </c>
      <c r="S95">
        <f t="shared" si="4"/>
        <v>1.0784095813505903</v>
      </c>
      <c r="T95">
        <f t="shared" si="4"/>
        <v>10.108141214536493</v>
      </c>
      <c r="U95">
        <f t="shared" si="4"/>
        <v>1.1939224684724346</v>
      </c>
      <c r="V95">
        <f t="shared" si="6"/>
        <v>8.9089649723923987</v>
      </c>
      <c r="W95">
        <f t="shared" si="6"/>
        <v>1.4906543764441336</v>
      </c>
      <c r="X95">
        <f t="shared" si="6"/>
        <v>8.2940496401020276</v>
      </c>
      <c r="Y95">
        <f t="shared" si="6"/>
        <v>1.0612565021243408</v>
      </c>
    </row>
    <row r="96" spans="1:25" x14ac:dyDescent="0.15">
      <c r="A96" s="1" t="s">
        <v>94</v>
      </c>
      <c r="B96" s="3">
        <v>3002</v>
      </c>
      <c r="C96" s="3">
        <v>5.99</v>
      </c>
      <c r="D96" s="3">
        <v>1444</v>
      </c>
      <c r="E96" s="3">
        <v>5.86</v>
      </c>
      <c r="F96" s="3">
        <v>43696</v>
      </c>
      <c r="G96" s="3">
        <v>2.4300000000000002</v>
      </c>
      <c r="H96" s="3">
        <v>5683</v>
      </c>
      <c r="I96" s="3">
        <v>3.98</v>
      </c>
      <c r="J96" s="3">
        <v>6393</v>
      </c>
      <c r="K96" s="3">
        <v>4.4400000000000004</v>
      </c>
      <c r="L96" s="3">
        <v>4371</v>
      </c>
      <c r="M96" s="3">
        <v>2.85</v>
      </c>
      <c r="N96">
        <f t="shared" si="5"/>
        <v>8.007034012193408</v>
      </c>
      <c r="O96">
        <f t="shared" si="5"/>
        <v>1.7900914121273581</v>
      </c>
      <c r="P96">
        <f t="shared" si="5"/>
        <v>7.2751723194527713</v>
      </c>
      <c r="Q96">
        <f t="shared" si="5"/>
        <v>1.7681496035889213</v>
      </c>
      <c r="R96">
        <f t="shared" si="4"/>
        <v>10.685011843713486</v>
      </c>
      <c r="S96">
        <f t="shared" si="4"/>
        <v>0.88789125735245711</v>
      </c>
      <c r="T96">
        <f t="shared" si="4"/>
        <v>8.6452345412971212</v>
      </c>
      <c r="U96">
        <f t="shared" si="4"/>
        <v>1.3812818192963463</v>
      </c>
      <c r="V96">
        <f t="shared" si="6"/>
        <v>8.7629589207667262</v>
      </c>
      <c r="W96">
        <f t="shared" si="6"/>
        <v>1.4906543764441336</v>
      </c>
      <c r="X96">
        <f t="shared" si="6"/>
        <v>8.3827470948633138</v>
      </c>
      <c r="Y96">
        <f t="shared" si="6"/>
        <v>1.0473189942805592</v>
      </c>
    </row>
    <row r="97" spans="1:25" x14ac:dyDescent="0.15">
      <c r="A97" s="1" t="s">
        <v>95</v>
      </c>
      <c r="B97" s="3">
        <v>3159</v>
      </c>
      <c r="C97" s="3">
        <v>5.92</v>
      </c>
      <c r="D97" s="3">
        <v>5043</v>
      </c>
      <c r="E97" s="3">
        <v>5</v>
      </c>
      <c r="F97" s="3">
        <v>101070</v>
      </c>
      <c r="G97" s="3">
        <v>2.2400000000000002</v>
      </c>
      <c r="H97" s="3">
        <v>5815</v>
      </c>
      <c r="I97" s="3">
        <v>4.28</v>
      </c>
      <c r="J97" s="3">
        <v>6625</v>
      </c>
      <c r="K97" s="3">
        <v>4.4400000000000004</v>
      </c>
      <c r="L97" s="3">
        <v>4779</v>
      </c>
      <c r="M97" s="3">
        <v>2.56</v>
      </c>
      <c r="N97">
        <f t="shared" si="5"/>
        <v>8.0580108008020854</v>
      </c>
      <c r="O97">
        <f t="shared" si="5"/>
        <v>1.7783364488959144</v>
      </c>
      <c r="P97">
        <f t="shared" si="5"/>
        <v>8.525756422076725</v>
      </c>
      <c r="Q97">
        <f t="shared" si="5"/>
        <v>1.6094379124341003</v>
      </c>
      <c r="R97">
        <f t="shared" si="4"/>
        <v>11.523568625068709</v>
      </c>
      <c r="S97">
        <f t="shared" si="4"/>
        <v>0.80647586586694853</v>
      </c>
      <c r="T97">
        <f t="shared" si="4"/>
        <v>8.668196064952765</v>
      </c>
      <c r="U97">
        <f t="shared" si="4"/>
        <v>1.4539530095937054</v>
      </c>
      <c r="V97">
        <f t="shared" si="6"/>
        <v>8.798605650854423</v>
      </c>
      <c r="W97">
        <f t="shared" si="6"/>
        <v>1.4906543764441336</v>
      </c>
      <c r="X97">
        <f t="shared" si="6"/>
        <v>8.4719865985781588</v>
      </c>
      <c r="Y97">
        <f t="shared" si="6"/>
        <v>0.94000725849147115</v>
      </c>
    </row>
    <row r="98" spans="1:25" x14ac:dyDescent="0.15">
      <c r="A98" s="1" t="s">
        <v>96</v>
      </c>
      <c r="B98" s="3">
        <v>31174</v>
      </c>
      <c r="C98" s="3">
        <v>3.56</v>
      </c>
      <c r="D98" s="3">
        <v>2405</v>
      </c>
      <c r="E98" s="3">
        <v>5.94</v>
      </c>
      <c r="F98" s="3">
        <v>78563</v>
      </c>
      <c r="G98" s="3">
        <v>2.2999999999999998</v>
      </c>
      <c r="H98" s="3">
        <v>5357</v>
      </c>
      <c r="I98" s="3">
        <v>4.22</v>
      </c>
      <c r="J98" s="3">
        <v>5790</v>
      </c>
      <c r="K98" s="3">
        <v>4.4400000000000004</v>
      </c>
      <c r="L98" s="3">
        <v>4741</v>
      </c>
      <c r="M98" s="3">
        <v>2.5499999999999998</v>
      </c>
      <c r="N98">
        <f t="shared" si="5"/>
        <v>10.347339693048996</v>
      </c>
      <c r="O98">
        <f t="shared" si="5"/>
        <v>1.2697605448639391</v>
      </c>
      <c r="P98">
        <f t="shared" si="5"/>
        <v>7.7853051825398616</v>
      </c>
      <c r="Q98">
        <f t="shared" si="5"/>
        <v>1.7817091333745536</v>
      </c>
      <c r="R98">
        <f t="shared" si="4"/>
        <v>11.271656129671937</v>
      </c>
      <c r="S98">
        <f t="shared" si="4"/>
        <v>0.83290912293510388</v>
      </c>
      <c r="T98">
        <f t="shared" si="4"/>
        <v>8.5861593958809603</v>
      </c>
      <c r="U98">
        <f t="shared" si="4"/>
        <v>1.4398351280479205</v>
      </c>
      <c r="V98">
        <f t="shared" si="6"/>
        <v>8.6638875705670415</v>
      </c>
      <c r="W98">
        <f t="shared" si="6"/>
        <v>1.4906543764441336</v>
      </c>
      <c r="X98">
        <f t="shared" si="6"/>
        <v>8.464003362902119</v>
      </c>
      <c r="Y98">
        <f t="shared" si="6"/>
        <v>0.93609335917033476</v>
      </c>
    </row>
    <row r="99" spans="1:25" x14ac:dyDescent="0.15">
      <c r="A99" s="1" t="s">
        <v>97</v>
      </c>
      <c r="B99" s="3">
        <v>3548</v>
      </c>
      <c r="C99" s="3">
        <v>5.68</v>
      </c>
      <c r="D99" s="3">
        <v>14513</v>
      </c>
      <c r="E99" s="3">
        <v>3.91</v>
      </c>
      <c r="F99" s="3">
        <v>15367</v>
      </c>
      <c r="G99" s="3">
        <v>3</v>
      </c>
      <c r="H99" s="3">
        <v>18790</v>
      </c>
      <c r="I99" s="3">
        <v>3.34</v>
      </c>
      <c r="J99" s="3">
        <v>6965</v>
      </c>
      <c r="K99" s="3">
        <v>4.43</v>
      </c>
      <c r="L99" s="3">
        <v>5997</v>
      </c>
      <c r="M99" s="3">
        <v>2.5</v>
      </c>
      <c r="N99">
        <f t="shared" si="5"/>
        <v>8.17413934342947</v>
      </c>
      <c r="O99">
        <f t="shared" si="5"/>
        <v>1.7369512327330598</v>
      </c>
      <c r="P99">
        <f t="shared" si="5"/>
        <v>9.5828000784703633</v>
      </c>
      <c r="Q99">
        <f t="shared" si="5"/>
        <v>1.3635373739972745</v>
      </c>
      <c r="R99">
        <f t="shared" si="4"/>
        <v>9.6399776320553325</v>
      </c>
      <c r="S99">
        <f t="shared" si="4"/>
        <v>1.0986122886681098</v>
      </c>
      <c r="T99">
        <f t="shared" si="4"/>
        <v>9.8410800924075108</v>
      </c>
      <c r="U99">
        <f t="shared" si="4"/>
        <v>1.205970806988609</v>
      </c>
      <c r="V99">
        <f t="shared" si="6"/>
        <v>8.8486528862139053</v>
      </c>
      <c r="W99">
        <f t="shared" si="6"/>
        <v>1.4883995840570443</v>
      </c>
      <c r="X99">
        <f t="shared" si="6"/>
        <v>8.6990146231685106</v>
      </c>
      <c r="Y99">
        <f t="shared" si="6"/>
        <v>0.91629073187415511</v>
      </c>
    </row>
    <row r="100" spans="1:25" x14ac:dyDescent="0.15">
      <c r="A100" s="1" t="s">
        <v>98</v>
      </c>
      <c r="B100" s="3">
        <v>3278</v>
      </c>
      <c r="C100" s="3">
        <v>5.99</v>
      </c>
      <c r="D100" s="3">
        <v>39633</v>
      </c>
      <c r="E100" s="3">
        <v>3.59</v>
      </c>
      <c r="F100" s="3">
        <v>14871</v>
      </c>
      <c r="G100" s="3">
        <v>3</v>
      </c>
      <c r="H100" s="3">
        <v>4767</v>
      </c>
      <c r="I100" s="3">
        <v>4.32</v>
      </c>
      <c r="J100" s="3">
        <v>81885</v>
      </c>
      <c r="K100" s="3">
        <v>2.73</v>
      </c>
      <c r="L100" s="3">
        <v>4980</v>
      </c>
      <c r="M100" s="3">
        <v>2.4900000000000002</v>
      </c>
      <c r="N100">
        <f t="shared" si="5"/>
        <v>8.0949887593037744</v>
      </c>
      <c r="O100">
        <f t="shared" si="5"/>
        <v>1.7900914121273581</v>
      </c>
      <c r="P100">
        <f t="shared" si="5"/>
        <v>10.587417383546464</v>
      </c>
      <c r="Q100">
        <f t="shared" si="5"/>
        <v>1.2781522025001875</v>
      </c>
      <c r="R100">
        <f t="shared" si="4"/>
        <v>9.6071682866886832</v>
      </c>
      <c r="S100">
        <f t="shared" si="4"/>
        <v>1.0986122886681098</v>
      </c>
      <c r="T100">
        <f t="shared" si="4"/>
        <v>8.4694724552048264</v>
      </c>
      <c r="U100">
        <f t="shared" si="4"/>
        <v>1.4632554022560189</v>
      </c>
      <c r="V100">
        <f t="shared" si="6"/>
        <v>11.313071102883967</v>
      </c>
      <c r="W100">
        <f t="shared" si="6"/>
        <v>1.0043016091968684</v>
      </c>
      <c r="X100">
        <f t="shared" si="6"/>
        <v>8.5131851700186978</v>
      </c>
      <c r="Y100">
        <f t="shared" si="6"/>
        <v>0.91228271047661635</v>
      </c>
    </row>
    <row r="101" spans="1:25" x14ac:dyDescent="0.15">
      <c r="A101" s="1" t="s">
        <v>99</v>
      </c>
      <c r="B101" s="3">
        <v>3171</v>
      </c>
      <c r="C101" s="3">
        <v>5.98</v>
      </c>
      <c r="D101" s="3">
        <v>26602</v>
      </c>
      <c r="E101" s="3">
        <v>3.65</v>
      </c>
      <c r="F101" s="3">
        <v>16950</v>
      </c>
      <c r="G101" s="3">
        <v>2.99</v>
      </c>
      <c r="H101" s="3">
        <v>5181</v>
      </c>
      <c r="I101" s="3">
        <v>4.43</v>
      </c>
      <c r="J101" s="3">
        <v>8032</v>
      </c>
      <c r="K101" s="3">
        <v>3.88</v>
      </c>
      <c r="L101" s="3">
        <v>19945</v>
      </c>
      <c r="M101" s="3">
        <v>2.02</v>
      </c>
      <c r="N101">
        <f t="shared" si="5"/>
        <v>8.0618022745383477</v>
      </c>
      <c r="O101">
        <f t="shared" si="5"/>
        <v>1.7884205679625405</v>
      </c>
      <c r="P101">
        <f t="shared" si="5"/>
        <v>10.188741679913241</v>
      </c>
      <c r="Q101">
        <f t="shared" si="5"/>
        <v>1.2947271675944001</v>
      </c>
      <c r="R101">
        <f t="shared" si="4"/>
        <v>9.7380231128085963</v>
      </c>
      <c r="S101">
        <f t="shared" si="4"/>
        <v>1.0952733874025951</v>
      </c>
      <c r="T101">
        <f t="shared" si="4"/>
        <v>8.5527533668147875</v>
      </c>
      <c r="U101">
        <f t="shared" si="4"/>
        <v>1.4883995840570443</v>
      </c>
      <c r="V101">
        <f t="shared" si="6"/>
        <v>8.9911888419315105</v>
      </c>
      <c r="W101">
        <f t="shared" si="6"/>
        <v>1.355835153635182</v>
      </c>
      <c r="X101">
        <f t="shared" si="6"/>
        <v>9.9007337643395061</v>
      </c>
      <c r="Y101">
        <f t="shared" si="6"/>
        <v>0.70309751141311339</v>
      </c>
    </row>
    <row r="102" spans="1:25" x14ac:dyDescent="0.15">
      <c r="A102" s="1" t="s">
        <v>100</v>
      </c>
      <c r="B102" s="3">
        <v>7863</v>
      </c>
      <c r="C102" s="3">
        <v>5</v>
      </c>
      <c r="D102" s="3">
        <v>1604</v>
      </c>
      <c r="E102" s="3">
        <v>5.98</v>
      </c>
      <c r="F102" s="3">
        <v>17555</v>
      </c>
      <c r="G102" s="3">
        <v>2.99</v>
      </c>
      <c r="H102" s="3">
        <v>42418</v>
      </c>
      <c r="I102" s="3">
        <v>4.2</v>
      </c>
      <c r="J102" s="3">
        <v>6352</v>
      </c>
      <c r="K102" s="3">
        <v>4.43</v>
      </c>
      <c r="L102" s="3">
        <v>5784</v>
      </c>
      <c r="M102" s="3">
        <v>2.39</v>
      </c>
      <c r="N102">
        <f t="shared" si="5"/>
        <v>8.9699234919915156</v>
      </c>
      <c r="O102">
        <f t="shared" si="5"/>
        <v>1.6094379124341003</v>
      </c>
      <c r="P102">
        <f t="shared" si="5"/>
        <v>7.3802557884264601</v>
      </c>
      <c r="Q102">
        <f t="shared" si="5"/>
        <v>1.7884205679625405</v>
      </c>
      <c r="R102">
        <f t="shared" si="4"/>
        <v>9.7730940886025319</v>
      </c>
      <c r="S102">
        <f t="shared" si="4"/>
        <v>1.0952733874025951</v>
      </c>
      <c r="T102">
        <f t="shared" si="4"/>
        <v>10.655328079435291</v>
      </c>
      <c r="U102">
        <f t="shared" si="4"/>
        <v>1.4350845252893227</v>
      </c>
      <c r="V102">
        <f t="shared" si="6"/>
        <v>8.7565250029269723</v>
      </c>
      <c r="W102">
        <f t="shared" si="6"/>
        <v>1.4883995840570443</v>
      </c>
      <c r="X102">
        <f t="shared" si="6"/>
        <v>8.6628507638386001</v>
      </c>
      <c r="Y102">
        <f t="shared" si="6"/>
        <v>0.87129336594341933</v>
      </c>
    </row>
    <row r="103" spans="1:25" x14ac:dyDescent="0.15">
      <c r="A103" s="1" t="s">
        <v>101</v>
      </c>
      <c r="B103" s="3">
        <v>7046</v>
      </c>
      <c r="C103" s="3">
        <v>5.28</v>
      </c>
      <c r="D103" s="3">
        <v>2142</v>
      </c>
      <c r="E103" s="3">
        <v>5.94</v>
      </c>
      <c r="F103" s="3">
        <v>127363</v>
      </c>
      <c r="G103" s="3">
        <v>1.79</v>
      </c>
      <c r="H103" s="3">
        <v>6653</v>
      </c>
      <c r="I103" s="3">
        <v>4.41</v>
      </c>
      <c r="J103" s="3">
        <v>6097</v>
      </c>
      <c r="K103" s="3">
        <v>4.41</v>
      </c>
      <c r="L103" s="3">
        <v>3989</v>
      </c>
      <c r="M103" s="3">
        <v>2.4900000000000002</v>
      </c>
      <c r="N103">
        <f t="shared" si="5"/>
        <v>8.8602153589011827</v>
      </c>
      <c r="O103">
        <f t="shared" si="5"/>
        <v>1.6639260977181702</v>
      </c>
      <c r="P103">
        <f t="shared" si="5"/>
        <v>7.6694952510076941</v>
      </c>
      <c r="Q103">
        <f t="shared" si="5"/>
        <v>1.7817091333745536</v>
      </c>
      <c r="R103">
        <f t="shared" si="4"/>
        <v>11.754796556077171</v>
      </c>
      <c r="S103">
        <f t="shared" si="4"/>
        <v>0.58221561985266368</v>
      </c>
      <c r="T103">
        <f t="shared" si="4"/>
        <v>8.8028231597418873</v>
      </c>
      <c r="U103">
        <f t="shared" si="4"/>
        <v>1.4838746894587547</v>
      </c>
      <c r="V103">
        <f t="shared" si="6"/>
        <v>8.7155521259078164</v>
      </c>
      <c r="W103">
        <f t="shared" si="6"/>
        <v>1.4838746894587547</v>
      </c>
      <c r="X103">
        <f t="shared" si="6"/>
        <v>8.2912958519054065</v>
      </c>
      <c r="Y103">
        <f t="shared" si="6"/>
        <v>0.91228271047661635</v>
      </c>
    </row>
    <row r="104" spans="1:25" x14ac:dyDescent="0.15">
      <c r="A104" s="1" t="s">
        <v>102</v>
      </c>
      <c r="B104" s="3">
        <v>14255</v>
      </c>
      <c r="C104" s="3">
        <v>5.19</v>
      </c>
      <c r="D104" s="3">
        <v>1801</v>
      </c>
      <c r="E104" s="3">
        <v>5.99</v>
      </c>
      <c r="F104" s="3">
        <v>21099</v>
      </c>
      <c r="G104" s="3">
        <v>2.72</v>
      </c>
      <c r="H104" s="3">
        <v>5257</v>
      </c>
      <c r="I104" s="3">
        <v>4.43</v>
      </c>
      <c r="J104" s="3">
        <v>5749</v>
      </c>
      <c r="K104" s="3">
        <v>4.43</v>
      </c>
      <c r="L104" s="3">
        <v>13566</v>
      </c>
      <c r="M104" s="3">
        <v>2.2200000000000002</v>
      </c>
      <c r="N104">
        <f t="shared" si="5"/>
        <v>9.5648630013467724</v>
      </c>
      <c r="O104">
        <f t="shared" si="5"/>
        <v>1.6467336971777973</v>
      </c>
      <c r="P104">
        <f t="shared" si="5"/>
        <v>7.4960973451759561</v>
      </c>
      <c r="Q104">
        <f t="shared" si="5"/>
        <v>1.7900914121273581</v>
      </c>
      <c r="R104">
        <f t="shared" si="4"/>
        <v>9.9569809249761274</v>
      </c>
      <c r="S104">
        <f t="shared" si="4"/>
        <v>1.000631880307906</v>
      </c>
      <c r="T104">
        <f t="shared" si="4"/>
        <v>8.5673158008194488</v>
      </c>
      <c r="U104">
        <f t="shared" si="4"/>
        <v>1.4883995840570443</v>
      </c>
      <c r="V104">
        <f t="shared" si="6"/>
        <v>8.6567812056232913</v>
      </c>
      <c r="W104">
        <f t="shared" si="6"/>
        <v>1.4883995840570443</v>
      </c>
      <c r="X104">
        <f t="shared" si="6"/>
        <v>9.5153219415060253</v>
      </c>
      <c r="Y104">
        <f t="shared" si="6"/>
        <v>0.79750719588418817</v>
      </c>
    </row>
    <row r="105" spans="1:25" x14ac:dyDescent="0.15">
      <c r="A105" s="1" t="s">
        <v>103</v>
      </c>
      <c r="B105" s="3">
        <v>11412</v>
      </c>
      <c r="C105" s="3">
        <v>5.24</v>
      </c>
      <c r="D105" s="3">
        <v>1888</v>
      </c>
      <c r="E105" s="3">
        <v>5.98</v>
      </c>
      <c r="F105" s="3">
        <v>18389</v>
      </c>
      <c r="G105" s="3">
        <v>3</v>
      </c>
      <c r="H105" s="3">
        <v>15957</v>
      </c>
      <c r="I105" s="3">
        <v>3.39</v>
      </c>
      <c r="J105" s="3">
        <v>6473</v>
      </c>
      <c r="K105" s="3">
        <v>4.43</v>
      </c>
      <c r="L105" s="3">
        <v>6456</v>
      </c>
      <c r="M105" s="3">
        <v>2.48</v>
      </c>
      <c r="N105">
        <f t="shared" si="5"/>
        <v>9.3424207123333911</v>
      </c>
      <c r="O105">
        <f t="shared" si="5"/>
        <v>1.6563214983329508</v>
      </c>
      <c r="P105">
        <f t="shared" si="5"/>
        <v>7.5432733467054458</v>
      </c>
      <c r="Q105">
        <f t="shared" si="5"/>
        <v>1.7884205679625405</v>
      </c>
      <c r="R105">
        <f t="shared" si="4"/>
        <v>9.8195079387408537</v>
      </c>
      <c r="S105">
        <f t="shared" si="4"/>
        <v>1.0986122886681098</v>
      </c>
      <c r="T105">
        <f t="shared" si="4"/>
        <v>9.6776528834104276</v>
      </c>
      <c r="U105">
        <f t="shared" si="4"/>
        <v>1.220829921392359</v>
      </c>
      <c r="V105">
        <f t="shared" si="6"/>
        <v>8.77539495854551</v>
      </c>
      <c r="W105">
        <f t="shared" si="6"/>
        <v>1.4883995840570443</v>
      </c>
      <c r="X105">
        <f t="shared" si="6"/>
        <v>8.7727652099497853</v>
      </c>
      <c r="Y105">
        <f t="shared" si="6"/>
        <v>0.90825856017689077</v>
      </c>
    </row>
    <row r="106" spans="1:25" x14ac:dyDescent="0.15">
      <c r="A106" s="1" t="s">
        <v>104</v>
      </c>
      <c r="B106" s="3">
        <v>4296</v>
      </c>
      <c r="C106" s="3">
        <v>5.94</v>
      </c>
      <c r="D106" s="3">
        <v>2131</v>
      </c>
      <c r="E106" s="3">
        <v>5.99</v>
      </c>
      <c r="F106" s="3">
        <v>22604</v>
      </c>
      <c r="G106" s="3">
        <v>3</v>
      </c>
      <c r="H106" s="3">
        <v>7214</v>
      </c>
      <c r="I106" s="3">
        <v>4.2</v>
      </c>
      <c r="J106" s="3">
        <v>7730</v>
      </c>
      <c r="K106" s="3">
        <v>4.4400000000000004</v>
      </c>
      <c r="L106" s="3">
        <v>14006</v>
      </c>
      <c r="M106" s="3">
        <v>2.5</v>
      </c>
      <c r="N106">
        <f t="shared" si="5"/>
        <v>8.3654396361887002</v>
      </c>
      <c r="O106">
        <f t="shared" si="5"/>
        <v>1.7817091333745536</v>
      </c>
      <c r="P106">
        <f t="shared" si="5"/>
        <v>7.6643466320986171</v>
      </c>
      <c r="Q106">
        <f t="shared" si="5"/>
        <v>1.7900914121273581</v>
      </c>
      <c r="R106">
        <f t="shared" si="4"/>
        <v>10.025882160749735</v>
      </c>
      <c r="S106">
        <f t="shared" si="4"/>
        <v>1.0986122886681098</v>
      </c>
      <c r="T106">
        <f t="shared" si="4"/>
        <v>8.8837788614634849</v>
      </c>
      <c r="U106">
        <f t="shared" si="4"/>
        <v>1.4350845252893227</v>
      </c>
      <c r="V106">
        <f t="shared" si="6"/>
        <v>8.9528641415814683</v>
      </c>
      <c r="W106">
        <f t="shared" si="6"/>
        <v>1.4906543764441336</v>
      </c>
      <c r="X106">
        <f t="shared" si="6"/>
        <v>9.547241088215463</v>
      </c>
      <c r="Y106">
        <f t="shared" si="6"/>
        <v>0.91629073187415511</v>
      </c>
    </row>
    <row r="107" spans="1:25" x14ac:dyDescent="0.15">
      <c r="A107" s="1" t="s">
        <v>105</v>
      </c>
      <c r="B107" s="3">
        <v>9085</v>
      </c>
      <c r="C107" s="3">
        <v>5</v>
      </c>
      <c r="D107" s="3">
        <v>3347</v>
      </c>
      <c r="E107" s="3">
        <v>5.43</v>
      </c>
      <c r="F107" s="3">
        <v>19645</v>
      </c>
      <c r="G107" s="3">
        <v>2.97</v>
      </c>
      <c r="H107" s="3">
        <v>5761</v>
      </c>
      <c r="I107" s="3">
        <v>4.28</v>
      </c>
      <c r="J107" s="3">
        <v>7145</v>
      </c>
      <c r="K107" s="3">
        <v>4.4400000000000004</v>
      </c>
      <c r="L107" s="3">
        <v>6728</v>
      </c>
      <c r="M107" s="3">
        <v>2.5</v>
      </c>
      <c r="N107">
        <f t="shared" si="5"/>
        <v>9.1143799808302717</v>
      </c>
      <c r="O107">
        <f t="shared" si="5"/>
        <v>1.6094379124341003</v>
      </c>
      <c r="P107">
        <f t="shared" si="5"/>
        <v>8.1158197012113273</v>
      </c>
      <c r="Q107">
        <f t="shared" si="5"/>
        <v>1.6919391339458441</v>
      </c>
      <c r="R107">
        <f t="shared" si="4"/>
        <v>9.8855781319925597</v>
      </c>
      <c r="S107">
        <f t="shared" si="4"/>
        <v>1.0885619528146082</v>
      </c>
      <c r="T107">
        <f t="shared" si="4"/>
        <v>8.6588663497323832</v>
      </c>
      <c r="U107">
        <f t="shared" si="4"/>
        <v>1.4539530095937054</v>
      </c>
      <c r="V107">
        <f t="shared" si="6"/>
        <v>8.8741680903639679</v>
      </c>
      <c r="W107">
        <f t="shared" si="6"/>
        <v>1.4906543764441336</v>
      </c>
      <c r="X107">
        <f t="shared" si="6"/>
        <v>8.8140332016527836</v>
      </c>
      <c r="Y107">
        <f t="shared" si="6"/>
        <v>0.91629073187415511</v>
      </c>
    </row>
    <row r="108" spans="1:25" x14ac:dyDescent="0.15">
      <c r="A108" s="1" t="s">
        <v>106</v>
      </c>
      <c r="B108" s="3">
        <v>3711</v>
      </c>
      <c r="C108" s="3">
        <v>5.83</v>
      </c>
      <c r="D108" s="3">
        <v>13774</v>
      </c>
      <c r="E108" s="3">
        <v>4.8099999999999996</v>
      </c>
      <c r="F108" s="3">
        <v>77499</v>
      </c>
      <c r="G108" s="3">
        <v>2.2200000000000002</v>
      </c>
      <c r="H108" s="3">
        <v>6218</v>
      </c>
      <c r="I108" s="3">
        <v>4.3099999999999996</v>
      </c>
      <c r="J108" s="3">
        <v>6994</v>
      </c>
      <c r="K108" s="3">
        <v>4.4400000000000004</v>
      </c>
      <c r="L108" s="3">
        <v>5784</v>
      </c>
      <c r="M108" s="3">
        <v>2.5</v>
      </c>
      <c r="N108">
        <f t="shared" si="5"/>
        <v>8.2190566610605984</v>
      </c>
      <c r="O108">
        <f t="shared" si="5"/>
        <v>1.7630170003624011</v>
      </c>
      <c r="P108">
        <f t="shared" si="5"/>
        <v>9.5305380361046428</v>
      </c>
      <c r="Q108">
        <f t="shared" si="5"/>
        <v>1.5706970841176697</v>
      </c>
      <c r="R108">
        <f t="shared" si="4"/>
        <v>11.258020312032384</v>
      </c>
      <c r="S108">
        <f t="shared" si="4"/>
        <v>0.79750719588418817</v>
      </c>
      <c r="T108">
        <f t="shared" si="4"/>
        <v>8.7352035906186991</v>
      </c>
      <c r="U108">
        <f t="shared" si="4"/>
        <v>1.4609379041156563</v>
      </c>
      <c r="V108">
        <f t="shared" si="6"/>
        <v>8.8528079176233216</v>
      </c>
      <c r="W108">
        <f t="shared" si="6"/>
        <v>1.4906543764441336</v>
      </c>
      <c r="X108">
        <f t="shared" si="6"/>
        <v>8.6628507638386001</v>
      </c>
      <c r="Y108">
        <f t="shared" si="6"/>
        <v>0.91629073187415511</v>
      </c>
    </row>
    <row r="109" spans="1:25" x14ac:dyDescent="0.15">
      <c r="A109" s="1" t="s">
        <v>107</v>
      </c>
      <c r="B109" s="3">
        <v>3833</v>
      </c>
      <c r="C109" s="3">
        <v>5.99</v>
      </c>
      <c r="D109" s="3">
        <v>11493</v>
      </c>
      <c r="E109" s="3">
        <v>4.8899999999999997</v>
      </c>
      <c r="F109" s="3">
        <v>23988</v>
      </c>
      <c r="G109" s="3">
        <v>2.93</v>
      </c>
      <c r="H109" s="3">
        <v>6195</v>
      </c>
      <c r="I109" s="3">
        <v>4.3099999999999996</v>
      </c>
      <c r="J109" s="3">
        <v>28527</v>
      </c>
      <c r="K109" s="3">
        <v>3.33</v>
      </c>
      <c r="L109" s="3">
        <v>8025</v>
      </c>
      <c r="M109" s="3">
        <v>2.5</v>
      </c>
      <c r="N109">
        <f t="shared" si="5"/>
        <v>8.2514030653805559</v>
      </c>
      <c r="O109">
        <f t="shared" si="5"/>
        <v>1.7900914121273581</v>
      </c>
      <c r="P109">
        <f t="shared" si="5"/>
        <v>9.3494934333687585</v>
      </c>
      <c r="Q109">
        <f t="shared" si="5"/>
        <v>1.5871923034867805</v>
      </c>
      <c r="R109">
        <f t="shared" si="4"/>
        <v>10.0853089842884</v>
      </c>
      <c r="S109">
        <f t="shared" si="4"/>
        <v>1.0750024230289761</v>
      </c>
      <c r="T109">
        <f t="shared" si="4"/>
        <v>8.7314977940632428</v>
      </c>
      <c r="U109">
        <f t="shared" si="4"/>
        <v>1.4609379041156563</v>
      </c>
      <c r="V109">
        <f t="shared" si="6"/>
        <v>10.258606286207554</v>
      </c>
      <c r="W109">
        <f t="shared" si="6"/>
        <v>1.2029723039923526</v>
      </c>
      <c r="X109">
        <f t="shared" si="6"/>
        <v>8.9903169479982168</v>
      </c>
      <c r="Y109">
        <f t="shared" si="6"/>
        <v>0.91629073187415511</v>
      </c>
    </row>
    <row r="110" spans="1:25" x14ac:dyDescent="0.15">
      <c r="A110" s="1" t="s">
        <v>108</v>
      </c>
      <c r="B110" s="3">
        <v>4279</v>
      </c>
      <c r="C110" s="3">
        <v>5.99</v>
      </c>
      <c r="D110" s="3">
        <v>2513</v>
      </c>
      <c r="E110" s="3">
        <v>5.99</v>
      </c>
      <c r="F110" s="3">
        <v>19066</v>
      </c>
      <c r="G110" s="3">
        <v>3</v>
      </c>
      <c r="H110" s="3">
        <v>22899</v>
      </c>
      <c r="I110" s="3">
        <v>3.35</v>
      </c>
      <c r="J110" s="3">
        <v>7747</v>
      </c>
      <c r="K110" s="3">
        <v>4.29</v>
      </c>
      <c r="L110" s="3">
        <v>6386</v>
      </c>
      <c r="M110" s="3">
        <v>2.5</v>
      </c>
      <c r="N110">
        <f t="shared" si="5"/>
        <v>8.3614746164168174</v>
      </c>
      <c r="O110">
        <f t="shared" si="5"/>
        <v>1.7900914121273581</v>
      </c>
      <c r="P110">
        <f t="shared" si="5"/>
        <v>7.8292325375435921</v>
      </c>
      <c r="Q110">
        <f t="shared" si="5"/>
        <v>1.7900914121273581</v>
      </c>
      <c r="R110">
        <f t="shared" si="4"/>
        <v>9.855661923053523</v>
      </c>
      <c r="S110">
        <f t="shared" si="4"/>
        <v>1.0986122886681098</v>
      </c>
      <c r="T110">
        <f t="shared" si="4"/>
        <v>10.03884852046658</v>
      </c>
      <c r="U110">
        <f t="shared" si="4"/>
        <v>1.2089603458369751</v>
      </c>
      <c r="V110">
        <f t="shared" si="6"/>
        <v>8.9550609506319017</v>
      </c>
      <c r="W110">
        <f t="shared" si="6"/>
        <v>1.4562867329399256</v>
      </c>
      <c r="X110">
        <f t="shared" si="6"/>
        <v>8.7618633732747266</v>
      </c>
      <c r="Y110">
        <f t="shared" si="6"/>
        <v>0.91629073187415511</v>
      </c>
    </row>
    <row r="111" spans="1:25" x14ac:dyDescent="0.15">
      <c r="A111" s="1" t="s">
        <v>109</v>
      </c>
      <c r="B111" s="3">
        <v>4794</v>
      </c>
      <c r="C111" s="3">
        <v>5.99</v>
      </c>
      <c r="D111" s="3">
        <v>2565</v>
      </c>
      <c r="E111" s="3">
        <v>5.98</v>
      </c>
      <c r="F111" s="3">
        <v>37855</v>
      </c>
      <c r="G111" s="3">
        <v>2.75</v>
      </c>
      <c r="H111" s="3">
        <v>7486</v>
      </c>
      <c r="I111" s="3">
        <v>4.24</v>
      </c>
      <c r="J111" s="3">
        <v>8783</v>
      </c>
      <c r="K111" s="3">
        <v>4.4400000000000004</v>
      </c>
      <c r="L111" s="3">
        <v>13178</v>
      </c>
      <c r="M111" s="3">
        <v>2.5</v>
      </c>
      <c r="N111">
        <f t="shared" si="5"/>
        <v>8.4751204149943291</v>
      </c>
      <c r="O111">
        <f t="shared" si="5"/>
        <v>1.7900914121273581</v>
      </c>
      <c r="P111">
        <f t="shared" si="5"/>
        <v>7.8497137576048699</v>
      </c>
      <c r="Q111">
        <f t="shared" si="5"/>
        <v>1.7884205679625405</v>
      </c>
      <c r="R111">
        <f t="shared" si="4"/>
        <v>10.541518350537407</v>
      </c>
      <c r="S111">
        <f t="shared" si="4"/>
        <v>1.0116009116784799</v>
      </c>
      <c r="T111">
        <f t="shared" si="4"/>
        <v>8.920789888464375</v>
      </c>
      <c r="U111">
        <f t="shared" si="4"/>
        <v>1.4445632692438664</v>
      </c>
      <c r="V111">
        <f t="shared" si="6"/>
        <v>9.0805733139171174</v>
      </c>
      <c r="W111">
        <f t="shared" si="6"/>
        <v>1.4906543764441336</v>
      </c>
      <c r="X111">
        <f t="shared" si="6"/>
        <v>9.4863040514737644</v>
      </c>
      <c r="Y111">
        <f t="shared" si="6"/>
        <v>0.91629073187415511</v>
      </c>
    </row>
    <row r="112" spans="1:25" x14ac:dyDescent="0.15">
      <c r="A112" s="1" t="s">
        <v>110</v>
      </c>
      <c r="B112" s="3">
        <v>4180</v>
      </c>
      <c r="C112" s="3">
        <v>5.99</v>
      </c>
      <c r="D112" s="3">
        <v>2084</v>
      </c>
      <c r="E112" s="3">
        <v>5.89</v>
      </c>
      <c r="F112" s="3">
        <v>20375</v>
      </c>
      <c r="G112" s="3">
        <v>2.99</v>
      </c>
      <c r="H112" s="3">
        <v>6242</v>
      </c>
      <c r="I112" s="3">
        <v>4.32</v>
      </c>
      <c r="J112" s="3">
        <v>7764</v>
      </c>
      <c r="K112" s="3">
        <v>4.4400000000000004</v>
      </c>
      <c r="L112" s="3">
        <v>5234</v>
      </c>
      <c r="M112" s="3">
        <v>2.95</v>
      </c>
      <c r="N112">
        <f t="shared" si="5"/>
        <v>8.3380665255188013</v>
      </c>
      <c r="O112">
        <f t="shared" si="5"/>
        <v>1.7900914121273581</v>
      </c>
      <c r="P112">
        <f t="shared" si="5"/>
        <v>7.6420444028732577</v>
      </c>
      <c r="Q112">
        <f t="shared" si="5"/>
        <v>1.7732559976634952</v>
      </c>
      <c r="R112">
        <f t="shared" si="4"/>
        <v>9.9220639381090638</v>
      </c>
      <c r="S112">
        <f t="shared" si="4"/>
        <v>1.0952733874025951</v>
      </c>
      <c r="T112">
        <f t="shared" si="4"/>
        <v>8.7390559228307243</v>
      </c>
      <c r="U112">
        <f t="shared" si="4"/>
        <v>1.4632554022560189</v>
      </c>
      <c r="V112">
        <f t="shared" si="6"/>
        <v>8.9572529442889017</v>
      </c>
      <c r="W112">
        <f t="shared" si="6"/>
        <v>1.4906543764441336</v>
      </c>
      <c r="X112">
        <f t="shared" si="6"/>
        <v>8.562931083090092</v>
      </c>
      <c r="Y112">
        <f t="shared" si="6"/>
        <v>1.0818051703517284</v>
      </c>
    </row>
    <row r="113" spans="1:25" x14ac:dyDescent="0.15">
      <c r="A113" s="1" t="s">
        <v>111</v>
      </c>
      <c r="B113" s="3">
        <v>3874</v>
      </c>
      <c r="C113" s="3">
        <v>5.99</v>
      </c>
      <c r="D113" s="3">
        <v>5431</v>
      </c>
      <c r="E113" s="3">
        <v>5.01</v>
      </c>
      <c r="F113" s="3">
        <v>22407</v>
      </c>
      <c r="G113" s="3">
        <v>3</v>
      </c>
      <c r="H113" s="3">
        <v>27931</v>
      </c>
      <c r="I113" s="3">
        <v>3.01</v>
      </c>
      <c r="J113" s="3">
        <v>7568</v>
      </c>
      <c r="K113" s="3">
        <v>4.4400000000000004</v>
      </c>
      <c r="L113" s="3">
        <v>4082</v>
      </c>
      <c r="M113" s="3">
        <v>3</v>
      </c>
      <c r="N113">
        <f t="shared" si="5"/>
        <v>8.2620428439669418</v>
      </c>
      <c r="O113">
        <f t="shared" si="5"/>
        <v>1.7900914121273581</v>
      </c>
      <c r="P113">
        <f t="shared" si="5"/>
        <v>8.5998785580348454</v>
      </c>
      <c r="Q113">
        <f t="shared" si="5"/>
        <v>1.6114359150967734</v>
      </c>
      <c r="R113">
        <f t="shared" si="4"/>
        <v>10.017128689025176</v>
      </c>
      <c r="S113">
        <f t="shared" si="4"/>
        <v>1.0986122886681098</v>
      </c>
      <c r="T113">
        <f t="shared" si="4"/>
        <v>10.237492462093485</v>
      </c>
      <c r="U113">
        <f t="shared" si="4"/>
        <v>1.1019400787607843</v>
      </c>
      <c r="V113">
        <f t="shared" si="6"/>
        <v>8.9316841107317142</v>
      </c>
      <c r="W113">
        <f t="shared" si="6"/>
        <v>1.4906543764441336</v>
      </c>
      <c r="X113">
        <f t="shared" si="6"/>
        <v>8.3143423433697894</v>
      </c>
      <c r="Y113">
        <f t="shared" si="6"/>
        <v>1.0986122886681098</v>
      </c>
    </row>
    <row r="114" spans="1:25" x14ac:dyDescent="0.15">
      <c r="A114" s="1" t="s">
        <v>112</v>
      </c>
      <c r="B114" s="3">
        <v>10353</v>
      </c>
      <c r="C114" s="3">
        <v>5.01</v>
      </c>
      <c r="D114" s="3">
        <v>1343</v>
      </c>
      <c r="E114" s="3">
        <v>6.13</v>
      </c>
      <c r="F114" s="3">
        <v>58178</v>
      </c>
      <c r="G114" s="3">
        <v>2.5099999999999998</v>
      </c>
      <c r="H114" s="3">
        <v>7562</v>
      </c>
      <c r="I114" s="3">
        <v>4.3</v>
      </c>
      <c r="J114" s="3">
        <v>7261</v>
      </c>
      <c r="K114" s="3">
        <v>4.42</v>
      </c>
      <c r="L114" s="3">
        <v>3989</v>
      </c>
      <c r="M114" s="3">
        <v>3</v>
      </c>
      <c r="N114">
        <f t="shared" si="5"/>
        <v>9.2450316117661124</v>
      </c>
      <c r="O114">
        <f t="shared" si="5"/>
        <v>1.6114359150967734</v>
      </c>
      <c r="P114">
        <f t="shared" si="5"/>
        <v>7.2026611965232377</v>
      </c>
      <c r="Q114">
        <f t="shared" si="5"/>
        <v>1.81319474994812</v>
      </c>
      <c r="R114">
        <f t="shared" si="4"/>
        <v>10.971262555384069</v>
      </c>
      <c r="S114">
        <f t="shared" si="4"/>
        <v>0.92028275314369246</v>
      </c>
      <c r="T114">
        <f t="shared" si="4"/>
        <v>8.9308909844508779</v>
      </c>
      <c r="U114">
        <f t="shared" si="4"/>
        <v>1.4586150226995167</v>
      </c>
      <c r="V114">
        <f t="shared" si="6"/>
        <v>8.8902728393802466</v>
      </c>
      <c r="W114">
        <f t="shared" si="6"/>
        <v>1.4861396960896067</v>
      </c>
      <c r="X114">
        <f t="shared" si="6"/>
        <v>8.2912958519054065</v>
      </c>
      <c r="Y114">
        <f t="shared" si="6"/>
        <v>1.0986122886681098</v>
      </c>
    </row>
    <row r="115" spans="1:25" x14ac:dyDescent="0.15">
      <c r="A115" s="1" t="s">
        <v>113</v>
      </c>
      <c r="B115" s="3">
        <v>3845</v>
      </c>
      <c r="C115" s="3">
        <v>5.76</v>
      </c>
      <c r="D115" s="3">
        <v>1239</v>
      </c>
      <c r="E115" s="3">
        <v>6.29</v>
      </c>
      <c r="F115" s="3">
        <v>20120</v>
      </c>
      <c r="G115" s="3">
        <v>2.95</v>
      </c>
      <c r="H115" s="3">
        <v>6577</v>
      </c>
      <c r="I115" s="3">
        <v>4.43</v>
      </c>
      <c r="J115" s="3">
        <v>24990</v>
      </c>
      <c r="K115" s="3">
        <v>3.34</v>
      </c>
      <c r="L115" s="3">
        <v>3688</v>
      </c>
      <c r="M115" s="3">
        <v>3</v>
      </c>
      <c r="N115">
        <f t="shared" si="5"/>
        <v>8.2545288819397449</v>
      </c>
      <c r="O115">
        <f t="shared" si="5"/>
        <v>1.7509374747077999</v>
      </c>
      <c r="P115">
        <f t="shared" si="5"/>
        <v>7.1220598816291423</v>
      </c>
      <c r="Q115">
        <f t="shared" si="5"/>
        <v>1.8389610707123492</v>
      </c>
      <c r="R115">
        <f t="shared" si="4"/>
        <v>9.9094696242136759</v>
      </c>
      <c r="S115">
        <f t="shared" si="4"/>
        <v>1.0818051703517284</v>
      </c>
      <c r="T115">
        <f t="shared" si="4"/>
        <v>8.7913339933013503</v>
      </c>
      <c r="U115">
        <f t="shared" si="4"/>
        <v>1.4883995840570443</v>
      </c>
      <c r="V115">
        <f t="shared" si="6"/>
        <v>10.126231023828998</v>
      </c>
      <c r="W115">
        <f t="shared" si="6"/>
        <v>1.205970806988609</v>
      </c>
      <c r="X115">
        <f t="shared" si="6"/>
        <v>8.2128395846764839</v>
      </c>
      <c r="Y115">
        <f t="shared" si="6"/>
        <v>1.0986122886681098</v>
      </c>
    </row>
    <row r="116" spans="1:25" x14ac:dyDescent="0.15">
      <c r="A116" s="1" t="s">
        <v>114</v>
      </c>
      <c r="B116" s="3">
        <v>7423</v>
      </c>
      <c r="C116" s="3">
        <v>5.2</v>
      </c>
      <c r="D116" s="3">
        <v>1615</v>
      </c>
      <c r="E116" s="3">
        <v>6.09</v>
      </c>
      <c r="F116" s="3">
        <v>18435</v>
      </c>
      <c r="G116" s="3">
        <v>3</v>
      </c>
      <c r="H116" s="3">
        <v>40194</v>
      </c>
      <c r="I116" s="3">
        <v>4.21</v>
      </c>
      <c r="J116" s="3">
        <v>6751</v>
      </c>
      <c r="K116" s="3">
        <v>3.89</v>
      </c>
      <c r="L116" s="3">
        <v>3237</v>
      </c>
      <c r="M116" s="3">
        <v>3</v>
      </c>
      <c r="N116">
        <f t="shared" si="5"/>
        <v>8.9123385671175477</v>
      </c>
      <c r="O116">
        <f t="shared" si="5"/>
        <v>1.6486586255873816</v>
      </c>
      <c r="P116">
        <f t="shared" si="5"/>
        <v>7.3870902356567569</v>
      </c>
      <c r="Q116">
        <f t="shared" si="5"/>
        <v>1.8066480817218056</v>
      </c>
      <c r="R116">
        <f t="shared" si="4"/>
        <v>9.8220063106682449</v>
      </c>
      <c r="S116">
        <f t="shared" si="4"/>
        <v>1.0986122886681098</v>
      </c>
      <c r="T116">
        <f t="shared" si="4"/>
        <v>10.601473009736322</v>
      </c>
      <c r="U116">
        <f t="shared" si="4"/>
        <v>1.43746264769429</v>
      </c>
      <c r="V116">
        <f t="shared" si="6"/>
        <v>8.8174459210418696</v>
      </c>
      <c r="W116">
        <f t="shared" si="6"/>
        <v>1.358409157630355</v>
      </c>
      <c r="X116">
        <f t="shared" si="6"/>
        <v>8.0824022539262437</v>
      </c>
      <c r="Y116">
        <f t="shared" si="6"/>
        <v>1.0986122886681098</v>
      </c>
    </row>
    <row r="117" spans="1:25" x14ac:dyDescent="0.15">
      <c r="A117" s="1" t="s">
        <v>115</v>
      </c>
      <c r="B117" s="3">
        <v>14793</v>
      </c>
      <c r="C117" s="3">
        <v>4.82</v>
      </c>
      <c r="D117" s="3">
        <v>3358</v>
      </c>
      <c r="E117" s="3">
        <v>5</v>
      </c>
      <c r="F117" s="3">
        <v>151999</v>
      </c>
      <c r="G117" s="3">
        <v>1.91</v>
      </c>
      <c r="H117" s="3">
        <v>5796</v>
      </c>
      <c r="I117" s="3">
        <v>4.41</v>
      </c>
      <c r="J117" s="3">
        <v>37704</v>
      </c>
      <c r="K117" s="3">
        <v>2.5099999999999998</v>
      </c>
      <c r="L117" s="3">
        <v>12634</v>
      </c>
      <c r="M117" s="3">
        <v>2.02</v>
      </c>
      <c r="N117">
        <f t="shared" si="5"/>
        <v>9.6019093748922355</v>
      </c>
      <c r="O117">
        <f t="shared" si="5"/>
        <v>1.572773928062509</v>
      </c>
      <c r="P117">
        <f t="shared" si="5"/>
        <v>8.119100837637486</v>
      </c>
      <c r="Q117">
        <f t="shared" si="5"/>
        <v>1.6094379124341003</v>
      </c>
      <c r="R117">
        <f t="shared" si="4"/>
        <v>11.931629220859403</v>
      </c>
      <c r="S117">
        <f t="shared" si="4"/>
        <v>0.64710324205853842</v>
      </c>
      <c r="T117">
        <f t="shared" si="4"/>
        <v>8.6649233034405722</v>
      </c>
      <c r="U117">
        <f t="shared" si="4"/>
        <v>1.4838746894587547</v>
      </c>
      <c r="V117">
        <f t="shared" si="6"/>
        <v>10.537521468603567</v>
      </c>
      <c r="W117">
        <f t="shared" si="6"/>
        <v>0.92028275314369246</v>
      </c>
      <c r="X117">
        <f t="shared" si="6"/>
        <v>9.4441468714586456</v>
      </c>
      <c r="Y117">
        <f t="shared" si="6"/>
        <v>0.70309751141311339</v>
      </c>
    </row>
    <row r="118" spans="1:25" x14ac:dyDescent="0.15">
      <c r="A118" s="1" t="s">
        <v>116</v>
      </c>
      <c r="B118" s="3">
        <v>10150</v>
      </c>
      <c r="C118" s="3">
        <v>4.9800000000000004</v>
      </c>
      <c r="D118" s="3">
        <v>2443</v>
      </c>
      <c r="E118" s="3">
        <v>5.9</v>
      </c>
      <c r="F118" s="3">
        <v>21672</v>
      </c>
      <c r="G118" s="3">
        <v>2.86</v>
      </c>
      <c r="H118" s="3">
        <v>6022</v>
      </c>
      <c r="I118" s="3">
        <v>4.4400000000000004</v>
      </c>
      <c r="J118" s="3">
        <v>8795</v>
      </c>
      <c r="K118" s="3">
        <v>3.67</v>
      </c>
      <c r="L118" s="3">
        <v>3688</v>
      </c>
      <c r="M118" s="3">
        <v>2.86</v>
      </c>
      <c r="N118">
        <f t="shared" si="5"/>
        <v>9.2252289844699327</v>
      </c>
      <c r="O118">
        <f t="shared" si="5"/>
        <v>1.6054298910365616</v>
      </c>
      <c r="P118">
        <f t="shared" si="5"/>
        <v>7.8009820712577405</v>
      </c>
      <c r="Q118">
        <f t="shared" si="5"/>
        <v>1.7749523509116738</v>
      </c>
      <c r="R118">
        <f t="shared" si="4"/>
        <v>9.9837763837649316</v>
      </c>
      <c r="S118">
        <f t="shared" si="4"/>
        <v>1.0508216248317612</v>
      </c>
      <c r="T118">
        <f t="shared" si="4"/>
        <v>8.7031747090416793</v>
      </c>
      <c r="U118">
        <f t="shared" si="4"/>
        <v>1.4906543764441336</v>
      </c>
      <c r="V118">
        <f t="shared" si="6"/>
        <v>9.0819386571716585</v>
      </c>
      <c r="W118">
        <f t="shared" si="6"/>
        <v>1.3001916620664788</v>
      </c>
      <c r="X118">
        <f t="shared" si="6"/>
        <v>8.2128395846764839</v>
      </c>
      <c r="Y118">
        <f t="shared" si="6"/>
        <v>1.0508216248317612</v>
      </c>
    </row>
    <row r="119" spans="1:25" x14ac:dyDescent="0.15">
      <c r="A119" s="1" t="s">
        <v>117</v>
      </c>
      <c r="B119" s="3">
        <v>3642</v>
      </c>
      <c r="C119" s="3">
        <v>5.99</v>
      </c>
      <c r="D119" s="3">
        <v>2125</v>
      </c>
      <c r="E119" s="3">
        <v>5.99</v>
      </c>
      <c r="F119" s="3">
        <v>17816</v>
      </c>
      <c r="G119" s="3">
        <v>3</v>
      </c>
      <c r="H119" s="3">
        <v>23768</v>
      </c>
      <c r="I119" s="3">
        <v>3.34</v>
      </c>
      <c r="J119" s="3">
        <v>7041</v>
      </c>
      <c r="K119" s="3">
        <v>4</v>
      </c>
      <c r="L119" s="3">
        <v>3011</v>
      </c>
      <c r="M119" s="3">
        <v>3</v>
      </c>
      <c r="N119">
        <f t="shared" si="5"/>
        <v>8.2002882602875538</v>
      </c>
      <c r="O119">
        <f t="shared" si="5"/>
        <v>1.7900914121273581</v>
      </c>
      <c r="P119">
        <f t="shared" si="5"/>
        <v>7.6615270813585168</v>
      </c>
      <c r="Q119">
        <f t="shared" si="5"/>
        <v>1.7900914121273581</v>
      </c>
      <c r="R119">
        <f t="shared" si="4"/>
        <v>9.7878522089372044</v>
      </c>
      <c r="S119">
        <f t="shared" si="4"/>
        <v>1.0986122886681098</v>
      </c>
      <c r="T119">
        <f t="shared" si="4"/>
        <v>10.076095417142444</v>
      </c>
      <c r="U119">
        <f t="shared" si="4"/>
        <v>1.205970806988609</v>
      </c>
      <c r="V119">
        <f t="shared" si="6"/>
        <v>8.8595054845191328</v>
      </c>
      <c r="W119">
        <f t="shared" si="6"/>
        <v>1.3862943611198906</v>
      </c>
      <c r="X119">
        <f t="shared" si="6"/>
        <v>8.0100275284817339</v>
      </c>
      <c r="Y119">
        <f t="shared" si="6"/>
        <v>1.0986122886681098</v>
      </c>
    </row>
    <row r="120" spans="1:25" x14ac:dyDescent="0.15">
      <c r="A120" s="1" t="s">
        <v>118</v>
      </c>
      <c r="B120" s="3">
        <v>10225</v>
      </c>
      <c r="C120" s="3">
        <v>5.0199999999999996</v>
      </c>
      <c r="D120" s="3">
        <v>1934</v>
      </c>
      <c r="E120" s="3">
        <v>5.99</v>
      </c>
      <c r="F120" s="3">
        <v>56256</v>
      </c>
      <c r="G120" s="3">
        <v>2.52</v>
      </c>
      <c r="H120" s="3">
        <v>7319</v>
      </c>
      <c r="I120" s="3">
        <v>4.3</v>
      </c>
      <c r="J120" s="3">
        <v>6404</v>
      </c>
      <c r="K120" s="3">
        <v>4.1399999999999997</v>
      </c>
      <c r="L120" s="3">
        <v>2687</v>
      </c>
      <c r="M120" s="3">
        <v>3</v>
      </c>
      <c r="N120">
        <f t="shared" si="5"/>
        <v>9.2325909809110023</v>
      </c>
      <c r="O120">
        <f t="shared" si="5"/>
        <v>1.6134299337036377</v>
      </c>
      <c r="P120">
        <f t="shared" si="5"/>
        <v>7.5673456760132396</v>
      </c>
      <c r="Q120">
        <f t="shared" si="5"/>
        <v>1.7900914121273581</v>
      </c>
      <c r="R120">
        <f t="shared" si="4"/>
        <v>10.937667981044848</v>
      </c>
      <c r="S120">
        <f t="shared" si="4"/>
        <v>0.9242589015233319</v>
      </c>
      <c r="T120">
        <f t="shared" si="4"/>
        <v>8.8982289856012269</v>
      </c>
      <c r="U120">
        <f t="shared" si="4"/>
        <v>1.4586150226995167</v>
      </c>
      <c r="V120">
        <f t="shared" si="6"/>
        <v>8.7646780741166062</v>
      </c>
      <c r="W120">
        <f t="shared" si="6"/>
        <v>1.4206957878372228</v>
      </c>
      <c r="X120">
        <f t="shared" si="6"/>
        <v>7.8961806086154915</v>
      </c>
      <c r="Y120">
        <f t="shared" si="6"/>
        <v>1.0986122886681098</v>
      </c>
    </row>
    <row r="121" spans="1:25" x14ac:dyDescent="0.15">
      <c r="A121" s="1" t="s">
        <v>119</v>
      </c>
      <c r="B121" s="3">
        <v>3619</v>
      </c>
      <c r="C121" s="3">
        <v>5.86</v>
      </c>
      <c r="D121" s="3">
        <v>4893</v>
      </c>
      <c r="E121" s="3">
        <v>5.01</v>
      </c>
      <c r="F121" s="3">
        <v>20126</v>
      </c>
      <c r="G121" s="3">
        <v>2.99</v>
      </c>
      <c r="H121" s="3">
        <v>33472</v>
      </c>
      <c r="I121" s="3">
        <v>3.01</v>
      </c>
      <c r="J121" s="3">
        <v>4331</v>
      </c>
      <c r="K121" s="3">
        <v>4.99</v>
      </c>
      <c r="L121" s="3">
        <v>3005</v>
      </c>
      <c r="M121" s="3">
        <v>3</v>
      </c>
      <c r="N121">
        <f t="shared" si="5"/>
        <v>8.1939530235637417</v>
      </c>
      <c r="O121">
        <f t="shared" si="5"/>
        <v>1.7681496035889213</v>
      </c>
      <c r="P121">
        <f t="shared" si="5"/>
        <v>8.4955608912891236</v>
      </c>
      <c r="Q121">
        <f t="shared" si="5"/>
        <v>1.6114359150967734</v>
      </c>
      <c r="R121">
        <f t="shared" si="4"/>
        <v>9.9097677904932784</v>
      </c>
      <c r="S121">
        <f t="shared" si="4"/>
        <v>1.0952733874025951</v>
      </c>
      <c r="T121">
        <f t="shared" si="4"/>
        <v>10.418464547424595</v>
      </c>
      <c r="U121">
        <f t="shared" si="4"/>
        <v>1.1019400787607843</v>
      </c>
      <c r="V121">
        <f t="shared" si="6"/>
        <v>8.3735537412146268</v>
      </c>
      <c r="W121">
        <f t="shared" si="6"/>
        <v>1.6074359097634274</v>
      </c>
      <c r="X121">
        <f t="shared" si="6"/>
        <v>8.0080328469693072</v>
      </c>
      <c r="Y121">
        <f t="shared" si="6"/>
        <v>1.0986122886681098</v>
      </c>
    </row>
    <row r="122" spans="1:25" x14ac:dyDescent="0.15">
      <c r="A122" s="1" t="s">
        <v>120</v>
      </c>
      <c r="B122" s="3">
        <v>12037</v>
      </c>
      <c r="C122" s="3">
        <v>4.51</v>
      </c>
      <c r="D122" s="3">
        <v>2055</v>
      </c>
      <c r="E122" s="3">
        <v>5.92</v>
      </c>
      <c r="F122" s="3">
        <v>21545</v>
      </c>
      <c r="G122" s="3">
        <v>3</v>
      </c>
      <c r="H122" s="3">
        <v>6676</v>
      </c>
      <c r="I122" s="3">
        <v>4.29</v>
      </c>
      <c r="J122" s="3">
        <v>5321</v>
      </c>
      <c r="K122" s="3">
        <v>4.97</v>
      </c>
      <c r="L122" s="3">
        <v>3405</v>
      </c>
      <c r="M122" s="3">
        <v>3</v>
      </c>
      <c r="N122">
        <f t="shared" si="5"/>
        <v>9.3957405183797356</v>
      </c>
      <c r="O122">
        <f t="shared" si="5"/>
        <v>1.506297153514587</v>
      </c>
      <c r="P122">
        <f t="shared" si="5"/>
        <v>7.6280311269303347</v>
      </c>
      <c r="Q122">
        <f t="shared" si="5"/>
        <v>1.7783364488959144</v>
      </c>
      <c r="R122">
        <f t="shared" si="4"/>
        <v>9.9778990500499383</v>
      </c>
      <c r="S122">
        <f t="shared" si="4"/>
        <v>1.0986122886681098</v>
      </c>
      <c r="T122">
        <f t="shared" si="4"/>
        <v>8.8062742847817255</v>
      </c>
      <c r="U122">
        <f t="shared" si="4"/>
        <v>1.4562867329399256</v>
      </c>
      <c r="V122">
        <f t="shared" si="6"/>
        <v>8.5794165345963691</v>
      </c>
      <c r="W122">
        <f t="shared" si="6"/>
        <v>1.6034198401085373</v>
      </c>
      <c r="X122">
        <f t="shared" si="6"/>
        <v>8.1330002185836126</v>
      </c>
      <c r="Y122">
        <f t="shared" si="6"/>
        <v>1.0986122886681098</v>
      </c>
    </row>
    <row r="123" spans="1:25" x14ac:dyDescent="0.15">
      <c r="A123" s="1" t="s">
        <v>121</v>
      </c>
      <c r="B123" s="3">
        <v>3972</v>
      </c>
      <c r="C123" s="3">
        <v>5.87</v>
      </c>
      <c r="D123" s="3">
        <v>13149</v>
      </c>
      <c r="E123" s="3">
        <v>5.84</v>
      </c>
      <c r="F123" s="3">
        <v>20583</v>
      </c>
      <c r="G123" s="3">
        <v>3</v>
      </c>
      <c r="H123" s="3">
        <v>6195</v>
      </c>
      <c r="I123" s="3">
        <v>4.4400000000000004</v>
      </c>
      <c r="J123" s="3">
        <v>51994</v>
      </c>
      <c r="K123" s="3">
        <v>4.12</v>
      </c>
      <c r="L123" s="3">
        <v>2663</v>
      </c>
      <c r="M123" s="3">
        <v>3</v>
      </c>
      <c r="N123">
        <f t="shared" si="5"/>
        <v>8.2870250251650628</v>
      </c>
      <c r="O123">
        <f t="shared" si="5"/>
        <v>1.7698546338400052</v>
      </c>
      <c r="P123">
        <f t="shared" si="5"/>
        <v>9.4841009890869188</v>
      </c>
      <c r="Q123">
        <f t="shared" si="5"/>
        <v>1.7647307968401356</v>
      </c>
      <c r="R123">
        <f t="shared" si="4"/>
        <v>9.9322207713590007</v>
      </c>
      <c r="S123">
        <f t="shared" si="4"/>
        <v>1.0986122886681098</v>
      </c>
      <c r="T123">
        <f t="shared" si="4"/>
        <v>8.7314977940632428</v>
      </c>
      <c r="U123">
        <f t="shared" si="4"/>
        <v>1.4906543764441336</v>
      </c>
      <c r="V123">
        <f t="shared" si="6"/>
        <v>10.858883606290863</v>
      </c>
      <c r="W123">
        <f t="shared" si="6"/>
        <v>1.4158531633614351</v>
      </c>
      <c r="X123">
        <f t="shared" si="6"/>
        <v>7.8872085858139318</v>
      </c>
      <c r="Y123">
        <f t="shared" si="6"/>
        <v>1.0986122886681098</v>
      </c>
    </row>
    <row r="124" spans="1:25" x14ac:dyDescent="0.15">
      <c r="A124" s="1" t="s">
        <v>122</v>
      </c>
      <c r="B124" s="3">
        <v>3931</v>
      </c>
      <c r="C124" s="3">
        <v>5.99</v>
      </c>
      <c r="D124" s="3">
        <v>2328</v>
      </c>
      <c r="E124" s="3">
        <v>5.99</v>
      </c>
      <c r="F124" s="3">
        <v>20798</v>
      </c>
      <c r="G124" s="3">
        <v>3</v>
      </c>
      <c r="H124" s="3">
        <v>7023</v>
      </c>
      <c r="I124" s="3">
        <v>4.38</v>
      </c>
      <c r="J124" s="3">
        <v>5946</v>
      </c>
      <c r="K124" s="3">
        <v>4.75</v>
      </c>
      <c r="L124" s="3">
        <v>5182</v>
      </c>
      <c r="M124" s="3">
        <v>3</v>
      </c>
      <c r="N124">
        <f t="shared" si="5"/>
        <v>8.2766491254218604</v>
      </c>
      <c r="O124">
        <f t="shared" si="5"/>
        <v>1.7900914121273581</v>
      </c>
      <c r="P124">
        <f t="shared" si="5"/>
        <v>7.7527648088513281</v>
      </c>
      <c r="Q124">
        <f t="shared" si="5"/>
        <v>1.7900914121273581</v>
      </c>
      <c r="R124">
        <f t="shared" si="4"/>
        <v>9.9426121072201781</v>
      </c>
      <c r="S124">
        <f t="shared" si="4"/>
        <v>1.0986122886681098</v>
      </c>
      <c r="T124">
        <f t="shared" si="4"/>
        <v>8.8569457561590212</v>
      </c>
      <c r="U124">
        <f t="shared" si="4"/>
        <v>1.4770487243883548</v>
      </c>
      <c r="V124">
        <f t="shared" si="6"/>
        <v>8.6904740035580428</v>
      </c>
      <c r="W124">
        <f t="shared" si="6"/>
        <v>1.5581446180465499</v>
      </c>
      <c r="X124">
        <f t="shared" si="6"/>
        <v>8.5529463611220553</v>
      </c>
      <c r="Y124">
        <f t="shared" si="6"/>
        <v>1.0986122886681098</v>
      </c>
    </row>
    <row r="125" spans="1:25" x14ac:dyDescent="0.15">
      <c r="A125" s="1" t="s">
        <v>123</v>
      </c>
      <c r="B125" s="3">
        <v>9137</v>
      </c>
      <c r="C125" s="3">
        <v>5.83</v>
      </c>
      <c r="D125" s="3">
        <v>1853</v>
      </c>
      <c r="E125" s="3">
        <v>5.98</v>
      </c>
      <c r="F125" s="3">
        <v>18349</v>
      </c>
      <c r="G125" s="3">
        <v>3</v>
      </c>
      <c r="H125" s="3">
        <v>6896</v>
      </c>
      <c r="I125" s="3">
        <v>4.1900000000000004</v>
      </c>
      <c r="J125" s="3">
        <v>6583</v>
      </c>
      <c r="K125" s="3">
        <v>4.1500000000000004</v>
      </c>
      <c r="L125" s="3">
        <v>27340</v>
      </c>
      <c r="M125" s="3">
        <v>2.0099999999999998</v>
      </c>
      <c r="N125">
        <f t="shared" si="5"/>
        <v>9.1200873829986211</v>
      </c>
      <c r="O125">
        <f t="shared" si="5"/>
        <v>1.7630170003624011</v>
      </c>
      <c r="P125">
        <f t="shared" si="5"/>
        <v>7.5245612262853596</v>
      </c>
      <c r="Q125">
        <f t="shared" si="5"/>
        <v>1.7884205679625405</v>
      </c>
      <c r="R125">
        <f t="shared" si="4"/>
        <v>9.8173303560849536</v>
      </c>
      <c r="S125">
        <f t="shared" si="4"/>
        <v>1.0986122886681098</v>
      </c>
      <c r="T125">
        <f t="shared" si="4"/>
        <v>8.8386968123435299</v>
      </c>
      <c r="U125">
        <f t="shared" si="4"/>
        <v>1.4327007339340465</v>
      </c>
      <c r="V125">
        <f t="shared" si="6"/>
        <v>8.7922458474678766</v>
      </c>
      <c r="W125">
        <f t="shared" si="6"/>
        <v>1.423108334242607</v>
      </c>
      <c r="X125">
        <f t="shared" si="6"/>
        <v>10.216106110277941</v>
      </c>
      <c r="Y125">
        <f t="shared" si="6"/>
        <v>0.69813472207098426</v>
      </c>
    </row>
    <row r="126" spans="1:25" x14ac:dyDescent="0.15">
      <c r="A126" s="1" t="s">
        <v>124</v>
      </c>
      <c r="B126" s="3">
        <v>19339</v>
      </c>
      <c r="C126" s="3">
        <v>5.77</v>
      </c>
      <c r="D126" s="3">
        <v>1830</v>
      </c>
      <c r="E126" s="3">
        <v>5.98</v>
      </c>
      <c r="F126" s="3">
        <v>19489</v>
      </c>
      <c r="G126" s="3">
        <v>3</v>
      </c>
      <c r="H126" s="3">
        <v>21168</v>
      </c>
      <c r="I126" s="3">
        <v>3</v>
      </c>
      <c r="J126" s="3">
        <v>6554</v>
      </c>
      <c r="K126" s="3">
        <v>3.99</v>
      </c>
      <c r="L126" s="3">
        <v>5431</v>
      </c>
      <c r="M126" s="3">
        <v>2.52</v>
      </c>
      <c r="N126">
        <f t="shared" si="5"/>
        <v>9.8698790613622993</v>
      </c>
      <c r="O126">
        <f t="shared" si="5"/>
        <v>1.7526720805200082</v>
      </c>
      <c r="P126">
        <f t="shared" si="5"/>
        <v>7.5120712458354664</v>
      </c>
      <c r="Q126">
        <f t="shared" si="5"/>
        <v>1.7884205679625405</v>
      </c>
      <c r="R126">
        <f t="shared" ref="R126:Y157" si="7">LN(F126)</f>
        <v>9.877605482822025</v>
      </c>
      <c r="S126">
        <f t="shared" si="7"/>
        <v>1.0986122886681098</v>
      </c>
      <c r="T126">
        <f t="shared" si="7"/>
        <v>9.9602458863547376</v>
      </c>
      <c r="U126">
        <f t="shared" si="7"/>
        <v>1.0986122886681098</v>
      </c>
      <c r="V126">
        <f t="shared" si="6"/>
        <v>8.787830829258759</v>
      </c>
      <c r="W126">
        <f t="shared" si="6"/>
        <v>1.3837912309017721</v>
      </c>
      <c r="X126">
        <f t="shared" si="6"/>
        <v>8.5998785580348454</v>
      </c>
      <c r="Y126">
        <f t="shared" si="6"/>
        <v>0.9242589015233319</v>
      </c>
    </row>
    <row r="127" spans="1:25" x14ac:dyDescent="0.15">
      <c r="A127" s="1" t="s">
        <v>125</v>
      </c>
      <c r="B127" s="3">
        <v>14793</v>
      </c>
      <c r="C127" s="3">
        <v>5.74</v>
      </c>
      <c r="D127" s="3">
        <v>1766</v>
      </c>
      <c r="E127" s="3">
        <v>5.98</v>
      </c>
      <c r="F127" s="3">
        <v>20890</v>
      </c>
      <c r="G127" s="3">
        <v>3</v>
      </c>
      <c r="H127" s="3">
        <v>7486</v>
      </c>
      <c r="I127" s="3">
        <v>4</v>
      </c>
      <c r="J127" s="3">
        <v>25244</v>
      </c>
      <c r="K127" s="3">
        <v>3.33</v>
      </c>
      <c r="L127" s="3">
        <v>3474</v>
      </c>
      <c r="M127" s="3">
        <v>2.94</v>
      </c>
      <c r="N127">
        <f t="shared" si="5"/>
        <v>9.6019093748922355</v>
      </c>
      <c r="O127">
        <f t="shared" si="5"/>
        <v>1.747459210331475</v>
      </c>
      <c r="P127">
        <f t="shared" si="5"/>
        <v>7.4764723811639051</v>
      </c>
      <c r="Q127">
        <f t="shared" si="5"/>
        <v>1.7884205679625405</v>
      </c>
      <c r="R127">
        <f t="shared" si="7"/>
        <v>9.9470258545506116</v>
      </c>
      <c r="S127">
        <f t="shared" si="7"/>
        <v>1.0986122886681098</v>
      </c>
      <c r="T127">
        <f t="shared" si="7"/>
        <v>8.920789888464375</v>
      </c>
      <c r="U127">
        <f t="shared" si="7"/>
        <v>1.3862943611198906</v>
      </c>
      <c r="V127">
        <f t="shared" si="6"/>
        <v>10.136343782704131</v>
      </c>
      <c r="W127">
        <f t="shared" si="6"/>
        <v>1.2029723039923526</v>
      </c>
      <c r="X127">
        <f t="shared" si="6"/>
        <v>8.153061946801051</v>
      </c>
      <c r="Y127">
        <f t="shared" si="6"/>
        <v>1.0784095813505903</v>
      </c>
    </row>
    <row r="128" spans="1:25" x14ac:dyDescent="0.15">
      <c r="A128" s="1" t="s">
        <v>126</v>
      </c>
      <c r="B128" s="3">
        <v>3121</v>
      </c>
      <c r="C128" s="3">
        <v>5.99</v>
      </c>
      <c r="D128" s="3">
        <v>6404</v>
      </c>
      <c r="E128" s="3">
        <v>5.78</v>
      </c>
      <c r="F128" s="3">
        <v>45608</v>
      </c>
      <c r="G128" s="3">
        <v>2.5</v>
      </c>
      <c r="H128" s="3">
        <v>5142</v>
      </c>
      <c r="I128" s="3">
        <v>4.43</v>
      </c>
      <c r="J128" s="3">
        <v>6120</v>
      </c>
      <c r="K128" s="3">
        <v>3.95</v>
      </c>
      <c r="L128" s="3">
        <v>2513</v>
      </c>
      <c r="M128" s="3">
        <v>3</v>
      </c>
      <c r="N128">
        <f t="shared" si="5"/>
        <v>8.0459087422707789</v>
      </c>
      <c r="O128">
        <f t="shared" si="5"/>
        <v>1.7900914121273581</v>
      </c>
      <c r="P128">
        <f t="shared" si="5"/>
        <v>8.7646780741166062</v>
      </c>
      <c r="Q128">
        <f t="shared" si="5"/>
        <v>1.7544036826842861</v>
      </c>
      <c r="R128">
        <f t="shared" si="7"/>
        <v>10.727838418711418</v>
      </c>
      <c r="S128">
        <f t="shared" si="7"/>
        <v>0.91629073187415511</v>
      </c>
      <c r="T128">
        <f t="shared" si="7"/>
        <v>8.5451973878258354</v>
      </c>
      <c r="U128">
        <f t="shared" si="7"/>
        <v>1.4883995840570443</v>
      </c>
      <c r="V128">
        <f t="shared" si="6"/>
        <v>8.7193173755063711</v>
      </c>
      <c r="W128">
        <f t="shared" si="6"/>
        <v>1.3737155789130306</v>
      </c>
      <c r="X128">
        <f t="shared" si="6"/>
        <v>7.8292325375435921</v>
      </c>
      <c r="Y128">
        <f t="shared" si="6"/>
        <v>1.0986122886681098</v>
      </c>
    </row>
    <row r="129" spans="1:25" x14ac:dyDescent="0.15">
      <c r="A129" s="1" t="s">
        <v>127</v>
      </c>
      <c r="B129" s="3">
        <v>3086</v>
      </c>
      <c r="C129" s="3">
        <v>5.99</v>
      </c>
      <c r="D129" s="3">
        <v>14793</v>
      </c>
      <c r="E129" s="3">
        <v>5.74</v>
      </c>
      <c r="F129" s="3">
        <v>18574</v>
      </c>
      <c r="G129" s="3">
        <v>2.95</v>
      </c>
      <c r="H129" s="3">
        <v>5964</v>
      </c>
      <c r="I129" s="3">
        <v>4.4400000000000004</v>
      </c>
      <c r="J129" s="3">
        <v>6357</v>
      </c>
      <c r="K129" s="3">
        <v>4</v>
      </c>
      <c r="L129" s="3">
        <v>2947</v>
      </c>
      <c r="M129" s="3">
        <v>3</v>
      </c>
      <c r="N129">
        <f t="shared" si="5"/>
        <v>8.034631032923107</v>
      </c>
      <c r="O129">
        <f t="shared" si="5"/>
        <v>1.7900914121273581</v>
      </c>
      <c r="P129">
        <f t="shared" si="5"/>
        <v>9.6019093748922355</v>
      </c>
      <c r="Q129">
        <f t="shared" si="5"/>
        <v>1.747459210331475</v>
      </c>
      <c r="R129">
        <f t="shared" si="7"/>
        <v>9.8295180323359528</v>
      </c>
      <c r="S129">
        <f t="shared" si="7"/>
        <v>1.0818051703517284</v>
      </c>
      <c r="T129">
        <f t="shared" si="7"/>
        <v>8.6934966758846297</v>
      </c>
      <c r="U129">
        <f t="shared" si="7"/>
        <v>1.4906543764441336</v>
      </c>
      <c r="V129">
        <f t="shared" si="6"/>
        <v>8.7573118469364086</v>
      </c>
      <c r="W129">
        <f t="shared" si="6"/>
        <v>1.3862943611198906</v>
      </c>
      <c r="X129">
        <f t="shared" si="6"/>
        <v>7.9885429827376946</v>
      </c>
      <c r="Y129">
        <f t="shared" si="6"/>
        <v>1.0986122886681098</v>
      </c>
    </row>
    <row r="130" spans="1:25" x14ac:dyDescent="0.15">
      <c r="A130" s="1" t="s">
        <v>128</v>
      </c>
      <c r="B130" s="3">
        <v>2988</v>
      </c>
      <c r="C130" s="3">
        <v>5.99</v>
      </c>
      <c r="D130" s="3">
        <v>10984</v>
      </c>
      <c r="E130" s="3">
        <v>5.78</v>
      </c>
      <c r="F130" s="3">
        <v>16328</v>
      </c>
      <c r="G130" s="3">
        <v>3</v>
      </c>
      <c r="H130" s="3">
        <v>5315</v>
      </c>
      <c r="I130" s="3">
        <v>4.43</v>
      </c>
      <c r="J130" s="3">
        <v>23675</v>
      </c>
      <c r="K130" s="3">
        <v>3.34</v>
      </c>
      <c r="L130" s="3">
        <v>2658</v>
      </c>
      <c r="M130" s="3">
        <v>3</v>
      </c>
      <c r="N130">
        <f t="shared" si="5"/>
        <v>8.0023595462527073</v>
      </c>
      <c r="O130">
        <f t="shared" si="5"/>
        <v>1.7900914121273581</v>
      </c>
      <c r="P130">
        <f t="shared" si="5"/>
        <v>9.3041949474478063</v>
      </c>
      <c r="Q130">
        <f t="shared" ref="Q130:Q157" si="8">LN(E130)</f>
        <v>1.7544036826842861</v>
      </c>
      <c r="R130">
        <f t="shared" si="7"/>
        <v>9.7006367044896802</v>
      </c>
      <c r="S130">
        <f t="shared" si="7"/>
        <v>1.0986122886681098</v>
      </c>
      <c r="T130">
        <f t="shared" si="7"/>
        <v>8.5782882907760492</v>
      </c>
      <c r="U130">
        <f t="shared" si="7"/>
        <v>1.4883995840570443</v>
      </c>
      <c r="V130">
        <f t="shared" si="6"/>
        <v>10.072174918054278</v>
      </c>
      <c r="W130">
        <f t="shared" si="6"/>
        <v>1.205970806988609</v>
      </c>
      <c r="X130">
        <f t="shared" si="6"/>
        <v>7.8853292392731911</v>
      </c>
      <c r="Y130">
        <f t="shared" si="6"/>
        <v>1.0986122886681098</v>
      </c>
    </row>
    <row r="131" spans="1:25" x14ac:dyDescent="0.15">
      <c r="A131" s="1" t="s">
        <v>129</v>
      </c>
      <c r="B131" s="3">
        <v>6381</v>
      </c>
      <c r="C131" s="3">
        <v>5.58</v>
      </c>
      <c r="D131" s="3">
        <v>2032</v>
      </c>
      <c r="E131" s="3">
        <v>5.98</v>
      </c>
      <c r="F131" s="3">
        <v>19449</v>
      </c>
      <c r="G131" s="3">
        <v>2.99</v>
      </c>
      <c r="H131" s="3">
        <v>36656</v>
      </c>
      <c r="I131" s="3">
        <v>2.76</v>
      </c>
      <c r="J131" s="3">
        <v>7515</v>
      </c>
      <c r="K131" s="3">
        <v>3.96</v>
      </c>
      <c r="L131" s="3">
        <v>7463</v>
      </c>
      <c r="M131" s="3">
        <v>2.5099999999999998</v>
      </c>
      <c r="N131">
        <f t="shared" ref="N131:P157" si="9">LN(B131)</f>
        <v>8.7610801038683466</v>
      </c>
      <c r="O131">
        <f t="shared" si="9"/>
        <v>1.7191887763932197</v>
      </c>
      <c r="P131">
        <f t="shared" si="9"/>
        <v>7.6167758086983728</v>
      </c>
      <c r="Q131">
        <f t="shared" si="8"/>
        <v>1.7884205679625405</v>
      </c>
      <c r="R131">
        <f t="shared" si="7"/>
        <v>9.8755509338431047</v>
      </c>
      <c r="S131">
        <f t="shared" si="7"/>
        <v>1.0952733874025951</v>
      </c>
      <c r="T131">
        <f t="shared" si="7"/>
        <v>10.509332404693277</v>
      </c>
      <c r="U131">
        <f t="shared" si="7"/>
        <v>1.0152306797290584</v>
      </c>
      <c r="V131">
        <f t="shared" si="6"/>
        <v>8.9246563021870742</v>
      </c>
      <c r="W131">
        <f t="shared" si="6"/>
        <v>1.3762440252663892</v>
      </c>
      <c r="X131">
        <f t="shared" si="6"/>
        <v>8.9177127571313868</v>
      </c>
      <c r="Y131">
        <f t="shared" si="6"/>
        <v>0.92028275314369246</v>
      </c>
    </row>
    <row r="132" spans="1:25" x14ac:dyDescent="0.15">
      <c r="A132" s="1" t="s">
        <v>130</v>
      </c>
      <c r="B132" s="3">
        <v>10300</v>
      </c>
      <c r="C132" s="3">
        <v>5.38</v>
      </c>
      <c r="D132" s="3">
        <v>1303</v>
      </c>
      <c r="E132" s="3">
        <v>5.98</v>
      </c>
      <c r="F132" s="3">
        <v>113397</v>
      </c>
      <c r="G132" s="3">
        <v>2.0299999999999998</v>
      </c>
      <c r="H132" s="3">
        <v>6097</v>
      </c>
      <c r="I132" s="3">
        <v>4.24</v>
      </c>
      <c r="J132" s="3">
        <v>6514</v>
      </c>
      <c r="K132" s="3">
        <v>4</v>
      </c>
      <c r="L132" s="3">
        <v>2108</v>
      </c>
      <c r="M132" s="3">
        <v>2.93</v>
      </c>
      <c r="N132">
        <f t="shared" si="9"/>
        <v>9.2398991742177277</v>
      </c>
      <c r="O132">
        <f t="shared" si="9"/>
        <v>1.6826883741736931</v>
      </c>
      <c r="P132">
        <f t="shared" si="9"/>
        <v>7.1724245771248452</v>
      </c>
      <c r="Q132">
        <f t="shared" si="8"/>
        <v>1.7884205679625405</v>
      </c>
      <c r="R132">
        <f t="shared" si="7"/>
        <v>11.638650214899393</v>
      </c>
      <c r="S132">
        <f t="shared" si="7"/>
        <v>0.70803579305369591</v>
      </c>
      <c r="T132">
        <f t="shared" si="7"/>
        <v>8.7155521259078164</v>
      </c>
      <c r="U132">
        <f t="shared" si="7"/>
        <v>1.4445632692438664</v>
      </c>
      <c r="V132">
        <f t="shared" si="6"/>
        <v>8.781708985836179</v>
      </c>
      <c r="W132">
        <f t="shared" si="6"/>
        <v>1.3862943611198906</v>
      </c>
      <c r="X132">
        <f t="shared" si="6"/>
        <v>7.6534949096612532</v>
      </c>
      <c r="Y132">
        <f t="shared" si="6"/>
        <v>1.0750024230289761</v>
      </c>
    </row>
    <row r="133" spans="1:25" x14ac:dyDescent="0.15">
      <c r="A133" s="1" t="s">
        <v>131</v>
      </c>
      <c r="B133" s="3">
        <v>8627</v>
      </c>
      <c r="C133" s="3">
        <v>5.43</v>
      </c>
      <c r="D133" s="3">
        <v>1766</v>
      </c>
      <c r="E133" s="3">
        <v>5.99</v>
      </c>
      <c r="F133" s="3">
        <v>18731</v>
      </c>
      <c r="G133" s="3">
        <v>2.88</v>
      </c>
      <c r="H133" s="3">
        <v>5506</v>
      </c>
      <c r="I133" s="3">
        <v>4.43</v>
      </c>
      <c r="J133" s="3">
        <v>7591</v>
      </c>
      <c r="K133" s="3">
        <v>4</v>
      </c>
      <c r="L133" s="3">
        <v>23774</v>
      </c>
      <c r="M133" s="3">
        <v>2</v>
      </c>
      <c r="N133">
        <f t="shared" si="9"/>
        <v>9.062652099076578</v>
      </c>
      <c r="O133">
        <f t="shared" si="9"/>
        <v>1.6919391339458441</v>
      </c>
      <c r="P133">
        <f t="shared" si="9"/>
        <v>7.4764723811639051</v>
      </c>
      <c r="Q133">
        <f t="shared" si="8"/>
        <v>1.7900914121273581</v>
      </c>
      <c r="R133">
        <f t="shared" si="7"/>
        <v>9.8379351842958922</v>
      </c>
      <c r="S133">
        <f t="shared" si="7"/>
        <v>1.0577902941478545</v>
      </c>
      <c r="T133">
        <f t="shared" si="7"/>
        <v>8.6135936857025523</v>
      </c>
      <c r="U133">
        <f t="shared" si="7"/>
        <v>1.4883995840570443</v>
      </c>
      <c r="V133">
        <f t="shared" si="6"/>
        <v>8.9347186140167683</v>
      </c>
      <c r="W133">
        <f t="shared" si="6"/>
        <v>1.3862943611198906</v>
      </c>
      <c r="X133">
        <f t="shared" si="6"/>
        <v>10.076347825540569</v>
      </c>
      <c r="Y133">
        <f t="shared" si="6"/>
        <v>0.69314718055994529</v>
      </c>
    </row>
    <row r="134" spans="1:25" x14ac:dyDescent="0.15">
      <c r="A134" s="1" t="s">
        <v>132</v>
      </c>
      <c r="B134" s="3">
        <v>3295</v>
      </c>
      <c r="C134" s="3">
        <v>5.99</v>
      </c>
      <c r="D134" s="3">
        <v>1384</v>
      </c>
      <c r="E134" s="3">
        <v>5.99</v>
      </c>
      <c r="F134" s="3">
        <v>15396</v>
      </c>
      <c r="G134" s="3">
        <v>3</v>
      </c>
      <c r="H134" s="3">
        <v>4864</v>
      </c>
      <c r="I134" s="3">
        <v>4.43</v>
      </c>
      <c r="J134" s="3">
        <v>22894</v>
      </c>
      <c r="K134" s="3">
        <v>3.34</v>
      </c>
      <c r="L134" s="3">
        <v>2999</v>
      </c>
      <c r="M134" s="3">
        <v>2.78</v>
      </c>
      <c r="N134">
        <f t="shared" si="9"/>
        <v>8.1001614469366068</v>
      </c>
      <c r="O134">
        <f t="shared" si="9"/>
        <v>1.7900914121273581</v>
      </c>
      <c r="P134">
        <f t="shared" si="9"/>
        <v>7.2327331361776146</v>
      </c>
      <c r="Q134">
        <f t="shared" si="8"/>
        <v>1.7900914121273581</v>
      </c>
      <c r="R134">
        <f t="shared" si="7"/>
        <v>9.6418630144036364</v>
      </c>
      <c r="S134">
        <f t="shared" si="7"/>
        <v>1.0986122886681098</v>
      </c>
      <c r="T134">
        <f t="shared" si="7"/>
        <v>8.4896164236460034</v>
      </c>
      <c r="U134">
        <f t="shared" si="7"/>
        <v>1.4883995840570443</v>
      </c>
      <c r="V134">
        <f t="shared" si="6"/>
        <v>10.038630146478422</v>
      </c>
      <c r="W134">
        <f t="shared" si="6"/>
        <v>1.205970806988609</v>
      </c>
      <c r="X134">
        <f t="shared" si="6"/>
        <v>8.0060341787490099</v>
      </c>
      <c r="Y134">
        <f t="shared" si="6"/>
        <v>1.0224509277025455</v>
      </c>
    </row>
    <row r="135" spans="1:25" x14ac:dyDescent="0.15">
      <c r="A135" s="1" t="s">
        <v>133</v>
      </c>
      <c r="B135" s="3">
        <v>7613</v>
      </c>
      <c r="C135" s="3">
        <v>5.01</v>
      </c>
      <c r="D135" s="3">
        <v>8129</v>
      </c>
      <c r="E135" s="3">
        <v>4.03</v>
      </c>
      <c r="F135" s="3">
        <v>19734</v>
      </c>
      <c r="G135" s="3">
        <v>3</v>
      </c>
      <c r="H135" s="3">
        <v>51912</v>
      </c>
      <c r="I135" s="3">
        <v>2.5099999999999998</v>
      </c>
      <c r="J135" s="3">
        <v>7597</v>
      </c>
      <c r="K135" s="3">
        <v>3.91</v>
      </c>
      <c r="L135" s="3">
        <v>2104</v>
      </c>
      <c r="M135" s="3">
        <v>3</v>
      </c>
      <c r="N135">
        <f t="shared" si="9"/>
        <v>8.9376125913062126</v>
      </c>
      <c r="O135">
        <f t="shared" si="9"/>
        <v>1.6114359150967734</v>
      </c>
      <c r="P135">
        <f t="shared" si="9"/>
        <v>9.0031931937465721</v>
      </c>
      <c r="Q135">
        <f t="shared" si="8"/>
        <v>1.3937663759585917</v>
      </c>
      <c r="R135">
        <f t="shared" si="7"/>
        <v>9.8900983154171112</v>
      </c>
      <c r="S135">
        <f t="shared" si="7"/>
        <v>1.0986122886681098</v>
      </c>
      <c r="T135">
        <f t="shared" si="7"/>
        <v>10.857305256301004</v>
      </c>
      <c r="U135">
        <f t="shared" si="7"/>
        <v>0.92028275314369246</v>
      </c>
      <c r="V135">
        <f t="shared" si="6"/>
        <v>8.9355087115032212</v>
      </c>
      <c r="W135">
        <f t="shared" si="6"/>
        <v>1.3635373739972745</v>
      </c>
      <c r="X135">
        <f t="shared" si="6"/>
        <v>7.6515955738576009</v>
      </c>
      <c r="Y135">
        <f t="shared" si="6"/>
        <v>1.0986122886681098</v>
      </c>
    </row>
    <row r="136" spans="1:25" x14ac:dyDescent="0.15">
      <c r="A136" s="1" t="s">
        <v>134</v>
      </c>
      <c r="B136" s="3">
        <v>3545</v>
      </c>
      <c r="C136" s="3">
        <v>5.92</v>
      </c>
      <c r="D136" s="3">
        <v>23710</v>
      </c>
      <c r="E136" s="3">
        <v>3.66</v>
      </c>
      <c r="F136" s="3">
        <v>54494</v>
      </c>
      <c r="G136" s="3">
        <v>2.5</v>
      </c>
      <c r="H136" s="3">
        <v>6596</v>
      </c>
      <c r="I136" s="3">
        <v>4</v>
      </c>
      <c r="J136" s="3">
        <v>7699</v>
      </c>
      <c r="K136" s="3">
        <v>4</v>
      </c>
      <c r="L136" s="3">
        <v>2195</v>
      </c>
      <c r="M136" s="3">
        <v>3</v>
      </c>
      <c r="N136">
        <f t="shared" si="9"/>
        <v>8.173293438966228</v>
      </c>
      <c r="O136">
        <f t="shared" si="9"/>
        <v>1.7783364488959144</v>
      </c>
      <c r="P136">
        <f t="shared" si="9"/>
        <v>10.073652179059451</v>
      </c>
      <c r="Q136">
        <f t="shared" si="8"/>
        <v>1.297463147413275</v>
      </c>
      <c r="R136">
        <f t="shared" si="7"/>
        <v>10.905845882847675</v>
      </c>
      <c r="S136">
        <f t="shared" si="7"/>
        <v>0.91629073187415511</v>
      </c>
      <c r="T136">
        <f t="shared" si="7"/>
        <v>8.7942186836794889</v>
      </c>
      <c r="U136">
        <f t="shared" si="7"/>
        <v>1.3862943611198906</v>
      </c>
      <c r="V136">
        <f t="shared" si="6"/>
        <v>8.9488457292780499</v>
      </c>
      <c r="W136">
        <f t="shared" si="6"/>
        <v>1.3862943611198906</v>
      </c>
      <c r="X136">
        <f t="shared" si="6"/>
        <v>7.693937325509272</v>
      </c>
      <c r="Y136">
        <f t="shared" si="6"/>
        <v>1.0986122886681098</v>
      </c>
    </row>
    <row r="137" spans="1:25" x14ac:dyDescent="0.15">
      <c r="A137" s="1" t="s">
        <v>135</v>
      </c>
      <c r="B137" s="3">
        <v>3083</v>
      </c>
      <c r="C137" s="3">
        <v>5.94</v>
      </c>
      <c r="D137" s="3">
        <v>15962</v>
      </c>
      <c r="E137" s="3">
        <v>3.7</v>
      </c>
      <c r="F137" s="3">
        <v>18583</v>
      </c>
      <c r="G137" s="3">
        <v>2.95</v>
      </c>
      <c r="H137" s="3">
        <v>5294</v>
      </c>
      <c r="I137" s="3">
        <v>4.4400000000000004</v>
      </c>
      <c r="J137" s="3">
        <v>7554</v>
      </c>
      <c r="K137" s="3">
        <v>4</v>
      </c>
      <c r="L137" s="3">
        <v>2227</v>
      </c>
      <c r="M137" s="3">
        <v>3</v>
      </c>
      <c r="N137">
        <f t="shared" si="9"/>
        <v>8.0336584278861505</v>
      </c>
      <c r="O137">
        <f t="shared" si="9"/>
        <v>1.7817091333745536</v>
      </c>
      <c r="P137">
        <f t="shared" si="9"/>
        <v>9.6779661764359535</v>
      </c>
      <c r="Q137">
        <f t="shared" si="8"/>
        <v>1.3083328196501789</v>
      </c>
      <c r="R137">
        <f t="shared" si="7"/>
        <v>9.8300024632736509</v>
      </c>
      <c r="S137">
        <f t="shared" si="7"/>
        <v>1.0818051703517284</v>
      </c>
      <c r="T137">
        <f t="shared" si="7"/>
        <v>8.574329382787047</v>
      </c>
      <c r="U137">
        <f t="shared" si="7"/>
        <v>1.4906543764441336</v>
      </c>
      <c r="V137">
        <f t="shared" si="6"/>
        <v>8.9298325032724026</v>
      </c>
      <c r="W137">
        <f t="shared" si="6"/>
        <v>1.3862943611198906</v>
      </c>
      <c r="X137">
        <f t="shared" si="6"/>
        <v>7.7084106672573673</v>
      </c>
      <c r="Y137">
        <f t="shared" si="6"/>
        <v>1.0986122886681098</v>
      </c>
    </row>
    <row r="138" spans="1:25" x14ac:dyDescent="0.15">
      <c r="A138" s="1" t="s">
        <v>136</v>
      </c>
      <c r="B138" s="3">
        <v>7936</v>
      </c>
      <c r="C138" s="3">
        <v>5.01</v>
      </c>
      <c r="D138" s="3">
        <v>1469</v>
      </c>
      <c r="E138" s="3">
        <v>6</v>
      </c>
      <c r="F138" s="3">
        <v>14967</v>
      </c>
      <c r="G138" s="3">
        <v>3</v>
      </c>
      <c r="H138" s="3">
        <v>4546</v>
      </c>
      <c r="I138" s="3">
        <v>4.4400000000000004</v>
      </c>
      <c r="J138" s="3">
        <v>66981</v>
      </c>
      <c r="K138" s="3">
        <v>2.5</v>
      </c>
      <c r="L138" s="3">
        <v>1888</v>
      </c>
      <c r="M138" s="3">
        <v>3</v>
      </c>
      <c r="N138">
        <f t="shared" si="9"/>
        <v>8.9791646489647086</v>
      </c>
      <c r="O138">
        <f t="shared" si="9"/>
        <v>1.6114359150967734</v>
      </c>
      <c r="P138">
        <f t="shared" si="9"/>
        <v>7.2923371761738771</v>
      </c>
      <c r="Q138">
        <f t="shared" si="8"/>
        <v>1.791759469228055</v>
      </c>
      <c r="R138">
        <f t="shared" si="7"/>
        <v>9.613603056529147</v>
      </c>
      <c r="S138">
        <f t="shared" si="7"/>
        <v>1.0986122886681098</v>
      </c>
      <c r="T138">
        <f t="shared" si="7"/>
        <v>8.4220030044124883</v>
      </c>
      <c r="U138">
        <f t="shared" si="7"/>
        <v>1.4906543764441336</v>
      </c>
      <c r="V138">
        <f t="shared" si="6"/>
        <v>11.112164276066547</v>
      </c>
      <c r="W138">
        <f t="shared" si="6"/>
        <v>0.91629073187415511</v>
      </c>
      <c r="X138">
        <f t="shared" si="6"/>
        <v>7.5432733467054458</v>
      </c>
      <c r="Y138">
        <f t="shared" si="6"/>
        <v>1.0986122886681098</v>
      </c>
    </row>
    <row r="139" spans="1:25" x14ac:dyDescent="0.15">
      <c r="A139" s="1" t="s">
        <v>137</v>
      </c>
      <c r="B139" s="3">
        <v>3244</v>
      </c>
      <c r="C139" s="3">
        <v>5.94</v>
      </c>
      <c r="D139" s="3">
        <v>22133</v>
      </c>
      <c r="E139" s="3">
        <v>3.48</v>
      </c>
      <c r="F139" s="3">
        <v>52848</v>
      </c>
      <c r="G139" s="3">
        <v>2.5</v>
      </c>
      <c r="H139" s="3">
        <v>5332</v>
      </c>
      <c r="I139" s="3">
        <v>4.4400000000000004</v>
      </c>
      <c r="J139" s="3">
        <v>6456</v>
      </c>
      <c r="K139" s="3">
        <v>3.7</v>
      </c>
      <c r="L139" s="3">
        <v>2087</v>
      </c>
      <c r="M139" s="3">
        <v>3</v>
      </c>
      <c r="N139">
        <f t="shared" si="9"/>
        <v>8.0845624152353039</v>
      </c>
      <c r="O139">
        <f t="shared" si="9"/>
        <v>1.7817091333745536</v>
      </c>
      <c r="P139">
        <f t="shared" si="9"/>
        <v>10.004824986442046</v>
      </c>
      <c r="Q139">
        <f t="shared" si="8"/>
        <v>1.2470322937863829</v>
      </c>
      <c r="R139">
        <f t="shared" si="7"/>
        <v>10.875175147630571</v>
      </c>
      <c r="S139">
        <f t="shared" si="7"/>
        <v>0.91629073187415511</v>
      </c>
      <c r="T139">
        <f t="shared" si="7"/>
        <v>8.5814816812985999</v>
      </c>
      <c r="U139">
        <f t="shared" si="7"/>
        <v>1.4906543764441336</v>
      </c>
      <c r="V139">
        <f t="shared" si="6"/>
        <v>8.7727652099497853</v>
      </c>
      <c r="W139">
        <f t="shared" si="6"/>
        <v>1.3083328196501789</v>
      </c>
      <c r="X139">
        <f t="shared" si="6"/>
        <v>7.6434829070772006</v>
      </c>
      <c r="Y139">
        <f t="shared" si="6"/>
        <v>1.0986122886681098</v>
      </c>
    </row>
    <row r="140" spans="1:25" x14ac:dyDescent="0.15">
      <c r="A140" s="1" t="s">
        <v>138</v>
      </c>
      <c r="B140" s="3">
        <v>3379</v>
      </c>
      <c r="C140" s="3">
        <v>5.99</v>
      </c>
      <c r="D140" s="3">
        <v>2486</v>
      </c>
      <c r="E140" s="3">
        <v>5.47</v>
      </c>
      <c r="F140" s="3">
        <v>19433</v>
      </c>
      <c r="G140" s="3">
        <v>2.95</v>
      </c>
      <c r="H140" s="3">
        <v>22768</v>
      </c>
      <c r="I140" s="3">
        <v>3.33</v>
      </c>
      <c r="J140" s="3">
        <v>6456</v>
      </c>
      <c r="K140" s="3">
        <v>4</v>
      </c>
      <c r="L140" s="3">
        <v>19739</v>
      </c>
      <c r="M140" s="3">
        <v>2.0099999999999998</v>
      </c>
      <c r="N140">
        <f t="shared" si="9"/>
        <v>8.1253350867142906</v>
      </c>
      <c r="O140">
        <f t="shared" si="9"/>
        <v>1.7900914121273581</v>
      </c>
      <c r="P140">
        <f t="shared" si="9"/>
        <v>7.818430272070656</v>
      </c>
      <c r="Q140">
        <f t="shared" si="8"/>
        <v>1.6992786164338898</v>
      </c>
      <c r="R140">
        <f t="shared" si="7"/>
        <v>9.8747279308647027</v>
      </c>
      <c r="S140">
        <f t="shared" si="7"/>
        <v>1.0818051703517284</v>
      </c>
      <c r="T140">
        <f t="shared" si="7"/>
        <v>10.033111320329633</v>
      </c>
      <c r="U140">
        <f t="shared" si="7"/>
        <v>1.2029723039923526</v>
      </c>
      <c r="V140">
        <f t="shared" si="6"/>
        <v>8.7727652099497853</v>
      </c>
      <c r="W140">
        <f t="shared" si="6"/>
        <v>1.3862943611198906</v>
      </c>
      <c r="X140">
        <f t="shared" si="6"/>
        <v>9.8903516531429876</v>
      </c>
      <c r="Y140">
        <f t="shared" si="6"/>
        <v>0.69813472207098426</v>
      </c>
    </row>
    <row r="141" spans="1:25" x14ac:dyDescent="0.15">
      <c r="A141" s="1" t="s">
        <v>139</v>
      </c>
      <c r="B141" s="3">
        <v>3029</v>
      </c>
      <c r="C141" s="3">
        <v>5.99</v>
      </c>
      <c r="D141" s="3">
        <v>6935</v>
      </c>
      <c r="E141" s="3">
        <v>4.45</v>
      </c>
      <c r="F141" s="3">
        <v>15688</v>
      </c>
      <c r="G141" s="3">
        <v>3</v>
      </c>
      <c r="H141" s="3">
        <v>5886</v>
      </c>
      <c r="I141" s="3">
        <v>4.33</v>
      </c>
      <c r="J141" s="3">
        <v>28283</v>
      </c>
      <c r="K141" s="3">
        <v>2.76</v>
      </c>
      <c r="L141" s="3">
        <v>3357</v>
      </c>
      <c r="M141" s="3">
        <v>2.61</v>
      </c>
      <c r="N141">
        <f t="shared" si="9"/>
        <v>8.0159878110272373</v>
      </c>
      <c r="O141">
        <f t="shared" si="9"/>
        <v>1.7900914121273581</v>
      </c>
      <c r="P141">
        <f t="shared" si="9"/>
        <v>8.8443363327489326</v>
      </c>
      <c r="Q141">
        <f t="shared" si="8"/>
        <v>1.4929040961781488</v>
      </c>
      <c r="R141">
        <f t="shared" si="7"/>
        <v>9.6606513678761825</v>
      </c>
      <c r="S141">
        <f t="shared" si="7"/>
        <v>1.0986122886681098</v>
      </c>
      <c r="T141">
        <f t="shared" si="7"/>
        <v>8.680331928793418</v>
      </c>
      <c r="U141">
        <f t="shared" si="7"/>
        <v>1.4655675420143985</v>
      </c>
      <c r="V141">
        <f t="shared" si="6"/>
        <v>10.250016196420983</v>
      </c>
      <c r="W141">
        <f t="shared" si="6"/>
        <v>1.0152306797290584</v>
      </c>
      <c r="X141">
        <f t="shared" si="6"/>
        <v>8.118802996980035</v>
      </c>
      <c r="Y141">
        <f t="shared" si="6"/>
        <v>0.95935022133460202</v>
      </c>
    </row>
    <row r="142" spans="1:25" x14ac:dyDescent="0.15">
      <c r="A142" s="1" t="s">
        <v>140</v>
      </c>
      <c r="B142" s="3">
        <v>5757</v>
      </c>
      <c r="C142" s="3">
        <v>5.7</v>
      </c>
      <c r="D142" s="3">
        <v>2114</v>
      </c>
      <c r="E142" s="3">
        <v>5.8</v>
      </c>
      <c r="F142" s="3">
        <v>19497</v>
      </c>
      <c r="G142" s="3">
        <v>3</v>
      </c>
      <c r="H142" s="3">
        <v>7274</v>
      </c>
      <c r="I142" s="3">
        <v>4.24</v>
      </c>
      <c r="J142" s="3">
        <v>6660</v>
      </c>
      <c r="K142" s="3">
        <v>3.85</v>
      </c>
      <c r="L142" s="3">
        <v>12993</v>
      </c>
      <c r="M142" s="3">
        <v>2.23</v>
      </c>
      <c r="N142">
        <f t="shared" si="9"/>
        <v>8.6581717846758099</v>
      </c>
      <c r="O142">
        <f t="shared" si="9"/>
        <v>1.7404661748405046</v>
      </c>
      <c r="P142">
        <f t="shared" si="9"/>
        <v>7.6563371664301831</v>
      </c>
      <c r="Q142">
        <f t="shared" si="8"/>
        <v>1.7578579175523736</v>
      </c>
      <c r="R142">
        <f t="shared" si="7"/>
        <v>9.8780158865624585</v>
      </c>
      <c r="S142">
        <f t="shared" si="7"/>
        <v>1.0986122886681098</v>
      </c>
      <c r="T142">
        <f t="shared" si="7"/>
        <v>8.8920616255469351</v>
      </c>
      <c r="U142">
        <f t="shared" si="7"/>
        <v>1.4445632692438664</v>
      </c>
      <c r="V142">
        <f t="shared" si="6"/>
        <v>8.8038747635344343</v>
      </c>
      <c r="W142">
        <f t="shared" si="6"/>
        <v>1.3480731482996928</v>
      </c>
      <c r="X142">
        <f t="shared" si="6"/>
        <v>9.4721660298827359</v>
      </c>
      <c r="Y142">
        <f t="shared" si="6"/>
        <v>0.80200158547202738</v>
      </c>
    </row>
    <row r="143" spans="1:25" x14ac:dyDescent="0.15">
      <c r="A143" s="1" t="s">
        <v>141</v>
      </c>
      <c r="B143" s="3">
        <v>9038</v>
      </c>
      <c r="C143" s="3">
        <v>5.42</v>
      </c>
      <c r="D143" s="3">
        <v>1749</v>
      </c>
      <c r="E143" s="3">
        <v>6</v>
      </c>
      <c r="F143" s="3">
        <v>106793</v>
      </c>
      <c r="G143" s="3">
        <v>2</v>
      </c>
      <c r="H143" s="3">
        <v>5509</v>
      </c>
      <c r="I143" s="3">
        <v>4.3899999999999997</v>
      </c>
      <c r="J143" s="3">
        <v>5450</v>
      </c>
      <c r="K143" s="3">
        <v>4</v>
      </c>
      <c r="L143" s="3">
        <v>2297</v>
      </c>
      <c r="M143" s="3">
        <v>2.85</v>
      </c>
      <c r="N143">
        <f t="shared" si="9"/>
        <v>9.1091931899712257</v>
      </c>
      <c r="O143">
        <f t="shared" si="9"/>
        <v>1.6900958154515549</v>
      </c>
      <c r="P143">
        <f t="shared" si="9"/>
        <v>7.4667994750186022</v>
      </c>
      <c r="Q143">
        <f t="shared" si="8"/>
        <v>1.791759469228055</v>
      </c>
      <c r="R143">
        <f t="shared" si="7"/>
        <v>11.578647660289029</v>
      </c>
      <c r="S143">
        <f t="shared" si="7"/>
        <v>0.69314718055994529</v>
      </c>
      <c r="T143">
        <f t="shared" si="7"/>
        <v>8.6141383974727166</v>
      </c>
      <c r="U143">
        <f t="shared" si="7"/>
        <v>1.4793292270870799</v>
      </c>
      <c r="V143">
        <f t="shared" si="6"/>
        <v>8.6033708876572899</v>
      </c>
      <c r="W143">
        <f t="shared" si="6"/>
        <v>1.3862943611198906</v>
      </c>
      <c r="X143">
        <f t="shared" si="6"/>
        <v>7.7393592026890978</v>
      </c>
      <c r="Y143">
        <f t="shared" si="6"/>
        <v>1.0473189942805592</v>
      </c>
    </row>
    <row r="144" spans="1:25" x14ac:dyDescent="0.15">
      <c r="A144" s="1" t="s">
        <v>142</v>
      </c>
      <c r="B144" s="3">
        <v>7957</v>
      </c>
      <c r="C144" s="3">
        <v>5.45</v>
      </c>
      <c r="D144" s="3">
        <v>1496</v>
      </c>
      <c r="E144" s="3">
        <v>5.99</v>
      </c>
      <c r="F144" s="3">
        <v>19804</v>
      </c>
      <c r="G144" s="3">
        <v>2.85</v>
      </c>
      <c r="H144" s="3">
        <v>6504</v>
      </c>
      <c r="I144" s="3">
        <v>4.42</v>
      </c>
      <c r="J144" s="3">
        <v>4121</v>
      </c>
      <c r="K144" s="3">
        <v>4.75</v>
      </c>
      <c r="L144" s="3">
        <v>2593</v>
      </c>
      <c r="M144" s="3">
        <v>3</v>
      </c>
      <c r="N144">
        <f t="shared" si="9"/>
        <v>8.9818073233775344</v>
      </c>
      <c r="O144">
        <f t="shared" si="9"/>
        <v>1.6956156086751528</v>
      </c>
      <c r="P144">
        <f t="shared" si="9"/>
        <v>7.3105501585344221</v>
      </c>
      <c r="Q144">
        <f t="shared" si="8"/>
        <v>1.7900914121273581</v>
      </c>
      <c r="R144">
        <f t="shared" si="7"/>
        <v>9.8936392164813132</v>
      </c>
      <c r="S144">
        <f t="shared" si="7"/>
        <v>1.0473189942805592</v>
      </c>
      <c r="T144">
        <f t="shared" si="7"/>
        <v>8.7801726512276463</v>
      </c>
      <c r="U144">
        <f t="shared" si="7"/>
        <v>1.4861396960896067</v>
      </c>
      <c r="V144">
        <f t="shared" si="6"/>
        <v>8.3238511313388166</v>
      </c>
      <c r="W144">
        <f t="shared" si="6"/>
        <v>1.5581446180465499</v>
      </c>
      <c r="X144">
        <f t="shared" si="6"/>
        <v>7.8605707855386644</v>
      </c>
      <c r="Y144">
        <f t="shared" si="6"/>
        <v>1.0986122886681098</v>
      </c>
    </row>
    <row r="145" spans="1:25" x14ac:dyDescent="0.15">
      <c r="A145" s="1" t="s">
        <v>143</v>
      </c>
      <c r="B145" s="3">
        <v>3632</v>
      </c>
      <c r="C145" s="3">
        <v>5.99</v>
      </c>
      <c r="D145" s="3">
        <v>1679</v>
      </c>
      <c r="E145" s="3">
        <v>5.99</v>
      </c>
      <c r="F145" s="3">
        <v>16129</v>
      </c>
      <c r="G145" s="3">
        <v>3</v>
      </c>
      <c r="H145" s="3">
        <v>16603</v>
      </c>
      <c r="I145" s="3">
        <v>3.34</v>
      </c>
      <c r="J145" s="3">
        <v>48070</v>
      </c>
      <c r="K145" s="3">
        <v>4.1500000000000004</v>
      </c>
      <c r="L145" s="3">
        <v>2109</v>
      </c>
      <c r="M145" s="3">
        <v>3</v>
      </c>
      <c r="N145">
        <f t="shared" si="9"/>
        <v>8.1975387397211836</v>
      </c>
      <c r="O145">
        <f t="shared" si="9"/>
        <v>1.7900914121273581</v>
      </c>
      <c r="P145">
        <f t="shared" si="9"/>
        <v>7.4259536570775406</v>
      </c>
      <c r="Q145">
        <f t="shared" si="8"/>
        <v>1.7900914121273581</v>
      </c>
      <c r="R145">
        <f t="shared" si="7"/>
        <v>9.6883741729171824</v>
      </c>
      <c r="S145">
        <f t="shared" si="7"/>
        <v>1.0986122886681098</v>
      </c>
      <c r="T145">
        <f t="shared" si="7"/>
        <v>9.7173386809077869</v>
      </c>
      <c r="U145">
        <f t="shared" si="7"/>
        <v>1.205970806988609</v>
      </c>
      <c r="V145">
        <f t="shared" si="7"/>
        <v>10.780413560888006</v>
      </c>
      <c r="W145">
        <f t="shared" si="7"/>
        <v>1.423108334242607</v>
      </c>
      <c r="X145">
        <f t="shared" si="7"/>
        <v>7.6539691804787742</v>
      </c>
      <c r="Y145">
        <f t="shared" si="7"/>
        <v>1.0986122886681098</v>
      </c>
    </row>
    <row r="146" spans="1:25" x14ac:dyDescent="0.15">
      <c r="A146" s="1" t="s">
        <v>144</v>
      </c>
      <c r="B146" s="3">
        <v>3341</v>
      </c>
      <c r="C146" s="3">
        <v>5.99</v>
      </c>
      <c r="D146" s="3">
        <v>7005</v>
      </c>
      <c r="E146" s="3">
        <v>4.46</v>
      </c>
      <c r="F146" s="3">
        <v>52595</v>
      </c>
      <c r="G146" s="3">
        <v>2.5</v>
      </c>
      <c r="H146" s="3">
        <v>7102</v>
      </c>
      <c r="I146" s="3">
        <v>4.3600000000000003</v>
      </c>
      <c r="J146" s="3">
        <v>5660</v>
      </c>
      <c r="K146" s="3">
        <v>4.71</v>
      </c>
      <c r="L146" s="3">
        <v>2249</v>
      </c>
      <c r="M146" s="3">
        <v>3</v>
      </c>
      <c r="N146">
        <f t="shared" si="9"/>
        <v>8.1140254423567573</v>
      </c>
      <c r="O146">
        <f t="shared" si="9"/>
        <v>1.7900914121273581</v>
      </c>
      <c r="P146">
        <f t="shared" si="9"/>
        <v>8.854379458771108</v>
      </c>
      <c r="Q146">
        <f t="shared" si="8"/>
        <v>1.4951487660319727</v>
      </c>
      <c r="R146">
        <f t="shared" si="7"/>
        <v>10.870376337173374</v>
      </c>
      <c r="S146">
        <f t="shared" si="7"/>
        <v>0.91629073187415511</v>
      </c>
      <c r="T146">
        <f t="shared" si="7"/>
        <v>8.8681317135030326</v>
      </c>
      <c r="U146">
        <f t="shared" si="7"/>
        <v>1.4724720573609431</v>
      </c>
      <c r="V146">
        <f t="shared" si="7"/>
        <v>8.6411791711972281</v>
      </c>
      <c r="W146">
        <f t="shared" si="7"/>
        <v>1.5496879080283263</v>
      </c>
      <c r="X146">
        <f t="shared" si="7"/>
        <v>7.7182409519593156</v>
      </c>
      <c r="Y146">
        <f t="shared" si="7"/>
        <v>1.0986122886681098</v>
      </c>
    </row>
    <row r="147" spans="1:25" x14ac:dyDescent="0.15">
      <c r="A147" s="1" t="s">
        <v>145</v>
      </c>
      <c r="B147" s="3">
        <v>3600</v>
      </c>
      <c r="C147" s="3">
        <v>5.99</v>
      </c>
      <c r="D147" s="3">
        <v>2134</v>
      </c>
      <c r="E147" s="3">
        <v>5.84</v>
      </c>
      <c r="F147" s="3">
        <v>21067</v>
      </c>
      <c r="G147" s="3">
        <v>2.94</v>
      </c>
      <c r="H147" s="3">
        <v>7154</v>
      </c>
      <c r="I147" s="3">
        <v>4.4400000000000004</v>
      </c>
      <c r="J147" s="3">
        <v>5071</v>
      </c>
      <c r="K147" s="3">
        <v>4.6100000000000003</v>
      </c>
      <c r="L147" s="3">
        <v>4137</v>
      </c>
      <c r="M147" s="3">
        <v>3</v>
      </c>
      <c r="N147">
        <f t="shared" si="9"/>
        <v>8.1886891244442008</v>
      </c>
      <c r="O147">
        <f t="shared" si="9"/>
        <v>1.7900914121273581</v>
      </c>
      <c r="P147">
        <f t="shared" si="9"/>
        <v>7.6657534318616989</v>
      </c>
      <c r="Q147">
        <f t="shared" si="8"/>
        <v>1.7647307968401356</v>
      </c>
      <c r="R147">
        <f t="shared" si="7"/>
        <v>9.95546311412647</v>
      </c>
      <c r="S147">
        <f t="shared" si="7"/>
        <v>1.0784095813505903</v>
      </c>
      <c r="T147">
        <f t="shared" si="7"/>
        <v>8.8754269198189633</v>
      </c>
      <c r="U147">
        <f t="shared" si="7"/>
        <v>1.4906543764441336</v>
      </c>
      <c r="V147">
        <f t="shared" si="7"/>
        <v>8.5312933157950184</v>
      </c>
      <c r="W147">
        <f t="shared" si="7"/>
        <v>1.5282278570085572</v>
      </c>
      <c r="X147">
        <f t="shared" si="7"/>
        <v>8.3277261664614119</v>
      </c>
      <c r="Y147">
        <f t="shared" si="7"/>
        <v>1.0986122886681098</v>
      </c>
    </row>
    <row r="148" spans="1:25" x14ac:dyDescent="0.15">
      <c r="A148" s="1" t="s">
        <v>146</v>
      </c>
      <c r="B148" s="3">
        <v>8898</v>
      </c>
      <c r="C148" s="3">
        <v>5.22</v>
      </c>
      <c r="D148" s="3">
        <v>1885</v>
      </c>
      <c r="E148" s="3">
        <v>5.98</v>
      </c>
      <c r="F148" s="3">
        <v>40582</v>
      </c>
      <c r="G148" s="3">
        <v>2.61</v>
      </c>
      <c r="H148" s="3">
        <v>6328</v>
      </c>
      <c r="I148" s="3">
        <v>4.43</v>
      </c>
      <c r="J148" s="3">
        <v>33281</v>
      </c>
      <c r="K148" s="3">
        <v>2.75</v>
      </c>
      <c r="L148" s="3">
        <v>2745</v>
      </c>
      <c r="M148" s="3">
        <v>2.99</v>
      </c>
      <c r="N148">
        <f t="shared" si="9"/>
        <v>9.0935818113659863</v>
      </c>
      <c r="O148">
        <f t="shared" si="9"/>
        <v>1.6524974018945473</v>
      </c>
      <c r="P148">
        <f t="shared" si="9"/>
        <v>7.5416830998821114</v>
      </c>
      <c r="Q148">
        <f t="shared" si="8"/>
        <v>1.7884205679625405</v>
      </c>
      <c r="R148">
        <f t="shared" si="7"/>
        <v>10.611079897527569</v>
      </c>
      <c r="S148">
        <f t="shared" si="7"/>
        <v>0.95935022133460202</v>
      </c>
      <c r="T148">
        <f t="shared" si="7"/>
        <v>8.7527395094474905</v>
      </c>
      <c r="U148">
        <f t="shared" si="7"/>
        <v>1.4883995840570443</v>
      </c>
      <c r="V148">
        <f t="shared" si="7"/>
        <v>10.412741942560633</v>
      </c>
      <c r="W148">
        <f t="shared" si="7"/>
        <v>1.0116009116784799</v>
      </c>
      <c r="X148">
        <f t="shared" si="7"/>
        <v>7.917536353943631</v>
      </c>
      <c r="Y148">
        <f t="shared" si="7"/>
        <v>1.0952733874025951</v>
      </c>
    </row>
    <row r="149" spans="1:25" x14ac:dyDescent="0.15">
      <c r="A149" s="1" t="s">
        <v>147</v>
      </c>
      <c r="B149" s="3">
        <v>14280</v>
      </c>
      <c r="C149" s="3">
        <v>4.8600000000000003</v>
      </c>
      <c r="D149" s="3">
        <v>1466</v>
      </c>
      <c r="E149" s="3">
        <v>5.98</v>
      </c>
      <c r="F149" s="3">
        <v>73529</v>
      </c>
      <c r="G149" s="3">
        <v>2.42</v>
      </c>
      <c r="H149" s="3">
        <v>52779</v>
      </c>
      <c r="I149" s="3">
        <v>2.5099999999999998</v>
      </c>
      <c r="J149" s="3">
        <v>7188</v>
      </c>
      <c r="K149" s="3">
        <v>3.79</v>
      </c>
      <c r="L149" s="3">
        <v>2179</v>
      </c>
      <c r="M149" s="3">
        <v>3</v>
      </c>
      <c r="N149">
        <f t="shared" si="9"/>
        <v>9.5666152358935754</v>
      </c>
      <c r="O149">
        <f t="shared" si="9"/>
        <v>1.5810384379124025</v>
      </c>
      <c r="P149">
        <f t="shared" si="9"/>
        <v>7.2902928824465967</v>
      </c>
      <c r="Q149">
        <f t="shared" si="8"/>
        <v>1.7884205679625405</v>
      </c>
      <c r="R149">
        <f t="shared" si="7"/>
        <v>11.205435165206588</v>
      </c>
      <c r="S149">
        <f t="shared" si="7"/>
        <v>0.88376754016859504</v>
      </c>
      <c r="T149">
        <f t="shared" si="7"/>
        <v>10.873868663307157</v>
      </c>
      <c r="U149">
        <f t="shared" si="7"/>
        <v>0.92028275314369246</v>
      </c>
      <c r="V149">
        <f t="shared" si="7"/>
        <v>8.8801682479034501</v>
      </c>
      <c r="W149">
        <f t="shared" si="7"/>
        <v>1.3323660190943349</v>
      </c>
      <c r="X149">
        <f t="shared" si="7"/>
        <v>7.6866213349446202</v>
      </c>
      <c r="Y149">
        <f t="shared" si="7"/>
        <v>1.0986122886681098</v>
      </c>
    </row>
    <row r="150" spans="1:25" x14ac:dyDescent="0.15">
      <c r="A150" s="1" t="s">
        <v>148</v>
      </c>
      <c r="B150" s="3">
        <v>12916</v>
      </c>
      <c r="C150" s="3">
        <v>4.79</v>
      </c>
      <c r="D150" s="3">
        <v>1981</v>
      </c>
      <c r="E150" s="3">
        <v>5.99</v>
      </c>
      <c r="F150" s="3">
        <v>56221</v>
      </c>
      <c r="G150" s="3">
        <v>2.48</v>
      </c>
      <c r="H150" s="3">
        <v>7081</v>
      </c>
      <c r="I150" s="3">
        <v>4.0999999999999996</v>
      </c>
      <c r="J150" s="3">
        <v>6917</v>
      </c>
      <c r="K150" s="3">
        <v>4.01</v>
      </c>
      <c r="L150" s="3">
        <v>2745</v>
      </c>
      <c r="M150" s="3">
        <v>3</v>
      </c>
      <c r="N150">
        <f t="shared" si="9"/>
        <v>9.4662221318781654</v>
      </c>
      <c r="O150">
        <f t="shared" si="9"/>
        <v>1.5665304114228238</v>
      </c>
      <c r="P150">
        <f t="shared" si="9"/>
        <v>7.5913570466985512</v>
      </c>
      <c r="Q150">
        <f t="shared" si="8"/>
        <v>1.7900914121273581</v>
      </c>
      <c r="R150">
        <f t="shared" si="7"/>
        <v>10.937045631566651</v>
      </c>
      <c r="S150">
        <f t="shared" si="7"/>
        <v>0.90825856017689077</v>
      </c>
      <c r="T150">
        <f t="shared" si="7"/>
        <v>8.8651704196517738</v>
      </c>
      <c r="U150">
        <f t="shared" si="7"/>
        <v>1.410986973710262</v>
      </c>
      <c r="V150">
        <f t="shared" si="7"/>
        <v>8.8417374286005845</v>
      </c>
      <c r="W150">
        <f t="shared" si="7"/>
        <v>1.3887912413184778</v>
      </c>
      <c r="X150">
        <f t="shared" si="7"/>
        <v>7.917536353943631</v>
      </c>
      <c r="Y150">
        <f t="shared" si="7"/>
        <v>1.0986122886681098</v>
      </c>
    </row>
    <row r="151" spans="1:25" x14ac:dyDescent="0.15">
      <c r="A151" s="1" t="s">
        <v>149</v>
      </c>
      <c r="B151" s="3">
        <v>3428</v>
      </c>
      <c r="C151" s="3">
        <v>5.99</v>
      </c>
      <c r="D151" s="3">
        <v>4791</v>
      </c>
      <c r="E151" s="3">
        <v>5.01</v>
      </c>
      <c r="F151" s="3">
        <v>15666</v>
      </c>
      <c r="G151" s="3">
        <v>3</v>
      </c>
      <c r="H151" s="3">
        <v>5563</v>
      </c>
      <c r="I151" s="3">
        <v>4.4400000000000004</v>
      </c>
      <c r="J151" s="3">
        <v>32017</v>
      </c>
      <c r="K151" s="3">
        <v>2.73</v>
      </c>
      <c r="L151" s="3">
        <v>1977</v>
      </c>
      <c r="M151" s="3">
        <v>2.98</v>
      </c>
      <c r="N151">
        <f t="shared" si="9"/>
        <v>8.1397322797176699</v>
      </c>
      <c r="O151">
        <f t="shared" si="9"/>
        <v>1.7900914121273581</v>
      </c>
      <c r="P151">
        <f t="shared" si="9"/>
        <v>8.4744944368831217</v>
      </c>
      <c r="Q151">
        <f t="shared" si="8"/>
        <v>1.6114359150967734</v>
      </c>
      <c r="R151">
        <f t="shared" si="7"/>
        <v>9.659248037927183</v>
      </c>
      <c r="S151">
        <f t="shared" si="7"/>
        <v>1.0986122886681098</v>
      </c>
      <c r="T151">
        <f t="shared" si="7"/>
        <v>8.6238928100752936</v>
      </c>
      <c r="U151">
        <f t="shared" si="7"/>
        <v>1.4906543764441336</v>
      </c>
      <c r="V151">
        <f t="shared" si="7"/>
        <v>10.374022290718541</v>
      </c>
      <c r="W151">
        <f t="shared" si="7"/>
        <v>1.0043016091968684</v>
      </c>
      <c r="X151">
        <f t="shared" si="7"/>
        <v>7.5893358231706172</v>
      </c>
      <c r="Y151">
        <f t="shared" si="7"/>
        <v>1.091923300517313</v>
      </c>
    </row>
    <row r="152" spans="1:25" x14ac:dyDescent="0.15">
      <c r="A152" s="1" t="s">
        <v>150</v>
      </c>
      <c r="B152" s="3">
        <v>3814</v>
      </c>
      <c r="C152" s="3">
        <v>5.98</v>
      </c>
      <c r="D152" s="3">
        <v>2141</v>
      </c>
      <c r="E152" s="3">
        <v>5.92</v>
      </c>
      <c r="F152" s="3">
        <v>19340</v>
      </c>
      <c r="G152" s="3">
        <v>3</v>
      </c>
      <c r="H152" s="3">
        <v>7424</v>
      </c>
      <c r="I152" s="3">
        <v>4.29</v>
      </c>
      <c r="J152" s="3">
        <v>8547</v>
      </c>
      <c r="K152" s="3">
        <v>3.8</v>
      </c>
      <c r="L152" s="3">
        <v>15058</v>
      </c>
      <c r="M152" s="3">
        <v>2.0099999999999998</v>
      </c>
      <c r="N152">
        <f t="shared" si="9"/>
        <v>8.2464337861603649</v>
      </c>
      <c r="O152">
        <f t="shared" si="9"/>
        <v>1.7884205679625405</v>
      </c>
      <c r="P152">
        <f t="shared" si="9"/>
        <v>7.6690282885896828</v>
      </c>
      <c r="Q152">
        <f t="shared" si="8"/>
        <v>1.7783364488959144</v>
      </c>
      <c r="R152">
        <f t="shared" si="7"/>
        <v>9.8699307690072846</v>
      </c>
      <c r="S152">
        <f t="shared" si="7"/>
        <v>1.0986122886681098</v>
      </c>
      <c r="T152">
        <f t="shared" si="7"/>
        <v>8.912473274466036</v>
      </c>
      <c r="U152">
        <f t="shared" si="7"/>
        <v>1.4562867329399256</v>
      </c>
      <c r="V152">
        <f t="shared" si="7"/>
        <v>9.0533356231660171</v>
      </c>
      <c r="W152">
        <f t="shared" si="7"/>
        <v>1.33500106673234</v>
      </c>
      <c r="X152">
        <f t="shared" si="7"/>
        <v>9.6196646904100671</v>
      </c>
      <c r="Y152">
        <f t="shared" si="7"/>
        <v>0.69813472207098426</v>
      </c>
    </row>
    <row r="153" spans="1:25" x14ac:dyDescent="0.15">
      <c r="A153" s="1" t="s">
        <v>151</v>
      </c>
      <c r="B153" s="3">
        <v>3528</v>
      </c>
      <c r="C153" s="3">
        <v>5.99</v>
      </c>
      <c r="D153" s="3">
        <v>14941</v>
      </c>
      <c r="E153" s="3">
        <v>3.41</v>
      </c>
      <c r="F153" s="3">
        <v>19750</v>
      </c>
      <c r="G153" s="3">
        <v>3</v>
      </c>
      <c r="H153" s="3">
        <v>7886</v>
      </c>
      <c r="I153" s="3">
        <v>4.1500000000000004</v>
      </c>
      <c r="J153" s="3">
        <v>7915</v>
      </c>
      <c r="K153" s="3">
        <v>4</v>
      </c>
      <c r="L153" s="3">
        <v>3311</v>
      </c>
      <c r="M153" s="3">
        <v>2.77</v>
      </c>
      <c r="N153">
        <f t="shared" si="9"/>
        <v>8.1684864171266813</v>
      </c>
      <c r="O153">
        <f t="shared" si="9"/>
        <v>1.7900914121273581</v>
      </c>
      <c r="P153">
        <f t="shared" si="9"/>
        <v>9.6118643908510855</v>
      </c>
      <c r="Q153">
        <f t="shared" si="8"/>
        <v>1.2267122912954254</v>
      </c>
      <c r="R153">
        <f t="shared" si="7"/>
        <v>9.8909087703292684</v>
      </c>
      <c r="S153">
        <f t="shared" si="7"/>
        <v>1.0986122886681098</v>
      </c>
      <c r="T153">
        <f t="shared" si="7"/>
        <v>8.9728443144375731</v>
      </c>
      <c r="U153">
        <f t="shared" si="7"/>
        <v>1.423108334242607</v>
      </c>
      <c r="V153">
        <f t="shared" si="7"/>
        <v>8.9765149723151119</v>
      </c>
      <c r="W153">
        <f t="shared" si="7"/>
        <v>1.3862943611198906</v>
      </c>
      <c r="X153">
        <f t="shared" si="7"/>
        <v>8.1050055375472461</v>
      </c>
      <c r="Y153">
        <f t="shared" si="7"/>
        <v>1.0188473201992472</v>
      </c>
    </row>
    <row r="154" spans="1:25" x14ac:dyDescent="0.15">
      <c r="A154" s="1" t="s">
        <v>152</v>
      </c>
      <c r="B154" s="3">
        <v>3446</v>
      </c>
      <c r="C154" s="3">
        <v>5.99</v>
      </c>
      <c r="D154" s="3">
        <v>4662</v>
      </c>
      <c r="E154" s="3">
        <v>5</v>
      </c>
      <c r="F154" s="3">
        <v>10834</v>
      </c>
      <c r="G154" s="3">
        <v>3.56</v>
      </c>
      <c r="H154" s="3">
        <v>24289</v>
      </c>
      <c r="I154" s="3">
        <v>3.34</v>
      </c>
      <c r="J154" s="3">
        <v>4469</v>
      </c>
      <c r="K154" s="3">
        <v>4.93</v>
      </c>
      <c r="L154" s="3">
        <v>3101</v>
      </c>
      <c r="M154" s="3">
        <v>3</v>
      </c>
      <c r="N154">
        <f t="shared" si="9"/>
        <v>8.144969417087875</v>
      </c>
      <c r="O154">
        <f t="shared" si="9"/>
        <v>1.7900914121273581</v>
      </c>
      <c r="P154">
        <f t="shared" si="9"/>
        <v>8.4471998195957028</v>
      </c>
      <c r="Q154">
        <f t="shared" si="8"/>
        <v>1.6094379124341003</v>
      </c>
      <c r="R154">
        <f t="shared" si="7"/>
        <v>9.2904446162178438</v>
      </c>
      <c r="S154">
        <f t="shared" si="7"/>
        <v>1.2697605448639391</v>
      </c>
      <c r="T154">
        <f t="shared" si="7"/>
        <v>10.097778851943309</v>
      </c>
      <c r="U154">
        <f t="shared" si="7"/>
        <v>1.205970806988609</v>
      </c>
      <c r="V154">
        <f t="shared" si="7"/>
        <v>8.4049199489334523</v>
      </c>
      <c r="W154">
        <f t="shared" si="7"/>
        <v>1.5953389880545987</v>
      </c>
      <c r="X154">
        <f t="shared" si="7"/>
        <v>8.0394799191004491</v>
      </c>
      <c r="Y154">
        <f t="shared" si="7"/>
        <v>1.0986122886681098</v>
      </c>
    </row>
    <row r="155" spans="1:25" x14ac:dyDescent="0.15">
      <c r="A155" s="1" t="s">
        <v>153</v>
      </c>
      <c r="B155" s="3">
        <v>3343</v>
      </c>
      <c r="C155" s="3">
        <v>5.99</v>
      </c>
      <c r="D155" s="3">
        <v>8273</v>
      </c>
      <c r="E155" s="3">
        <v>4.07</v>
      </c>
      <c r="F155" s="3">
        <v>58935</v>
      </c>
      <c r="G155" s="3">
        <v>3.07</v>
      </c>
      <c r="H155" s="3">
        <v>6440</v>
      </c>
      <c r="I155" s="3">
        <v>4.3</v>
      </c>
      <c r="J155" s="3">
        <v>49536</v>
      </c>
      <c r="K155" s="3">
        <v>4.21</v>
      </c>
      <c r="L155" s="3">
        <v>1993</v>
      </c>
      <c r="M155" s="3">
        <v>3</v>
      </c>
      <c r="N155">
        <f t="shared" si="9"/>
        <v>8.1146238864200981</v>
      </c>
      <c r="O155">
        <f t="shared" si="9"/>
        <v>1.7900914121273581</v>
      </c>
      <c r="P155">
        <f t="shared" si="9"/>
        <v>9.0207524791901825</v>
      </c>
      <c r="Q155">
        <f t="shared" si="8"/>
        <v>1.4036429994545037</v>
      </c>
      <c r="R155">
        <f t="shared" si="7"/>
        <v>10.984190420660671</v>
      </c>
      <c r="S155">
        <f t="shared" si="7"/>
        <v>1.1216775615991057</v>
      </c>
      <c r="T155">
        <f t="shared" si="7"/>
        <v>8.7702838190983989</v>
      </c>
      <c r="U155">
        <f t="shared" si="7"/>
        <v>1.4586150226995167</v>
      </c>
      <c r="V155">
        <f t="shared" si="7"/>
        <v>10.8104549569494</v>
      </c>
      <c r="W155">
        <f t="shared" si="7"/>
        <v>1.43746264769429</v>
      </c>
      <c r="X155">
        <f t="shared" si="7"/>
        <v>7.5973963202127948</v>
      </c>
      <c r="Y155">
        <f t="shared" si="7"/>
        <v>1.0986122886681098</v>
      </c>
    </row>
    <row r="156" spans="1:25" x14ac:dyDescent="0.15">
      <c r="A156" s="1" t="s">
        <v>154</v>
      </c>
      <c r="B156" s="3">
        <v>3547</v>
      </c>
      <c r="C156" s="3">
        <v>5.99</v>
      </c>
      <c r="D156" s="3">
        <v>24293</v>
      </c>
      <c r="E156" s="3">
        <v>3.66</v>
      </c>
      <c r="F156" s="3">
        <v>10936</v>
      </c>
      <c r="G156" s="3">
        <v>3.54</v>
      </c>
      <c r="H156" s="3">
        <v>7763</v>
      </c>
      <c r="I156" s="3">
        <v>4.2300000000000004</v>
      </c>
      <c r="J156" s="3">
        <v>14570</v>
      </c>
      <c r="K156" s="3">
        <v>3.5</v>
      </c>
      <c r="L156" s="3">
        <v>2838</v>
      </c>
      <c r="M156" s="3">
        <v>2.99</v>
      </c>
      <c r="N156">
        <f t="shared" si="9"/>
        <v>8.1738574547736214</v>
      </c>
      <c r="O156">
        <f t="shared" si="9"/>
        <v>1.7900914121273581</v>
      </c>
      <c r="P156">
        <f t="shared" si="9"/>
        <v>10.097943521986084</v>
      </c>
      <c r="Q156">
        <f t="shared" si="8"/>
        <v>1.297463147413275</v>
      </c>
      <c r="R156">
        <f t="shared" si="7"/>
        <v>9.2998153784037854</v>
      </c>
      <c r="S156">
        <f t="shared" si="7"/>
        <v>1.2641267271456831</v>
      </c>
      <c r="T156">
        <f t="shared" si="7"/>
        <v>8.9571241364056799</v>
      </c>
      <c r="U156">
        <f t="shared" si="7"/>
        <v>1.4422019930581866</v>
      </c>
      <c r="V156">
        <f t="shared" si="7"/>
        <v>9.5867198991892497</v>
      </c>
      <c r="W156">
        <f t="shared" si="7"/>
        <v>1.2527629684953681</v>
      </c>
      <c r="X156">
        <f t="shared" si="7"/>
        <v>7.950854857719988</v>
      </c>
      <c r="Y156">
        <f t="shared" si="7"/>
        <v>1.0952733874025951</v>
      </c>
    </row>
    <row r="157" spans="1:25" s="70" customFormat="1" ht="14" thickBot="1" x14ac:dyDescent="0.2">
      <c r="A157" s="68" t="s">
        <v>155</v>
      </c>
      <c r="B157" s="69">
        <v>3382</v>
      </c>
      <c r="C157" s="69">
        <v>5.99</v>
      </c>
      <c r="D157" s="69">
        <v>18946</v>
      </c>
      <c r="E157" s="69">
        <v>3.68</v>
      </c>
      <c r="F157" s="69">
        <v>17436</v>
      </c>
      <c r="G157" s="69">
        <v>3.06</v>
      </c>
      <c r="H157" s="69">
        <v>7889</v>
      </c>
      <c r="I157" s="69">
        <v>4.34</v>
      </c>
      <c r="J157" s="69">
        <v>7132</v>
      </c>
      <c r="K157" s="69">
        <v>4.12</v>
      </c>
      <c r="L157" s="69">
        <v>10771</v>
      </c>
      <c r="M157" s="69">
        <v>2.21</v>
      </c>
      <c r="N157" s="70">
        <f t="shared" si="9"/>
        <v>8.1262225294585253</v>
      </c>
      <c r="O157" s="70">
        <f t="shared" si="9"/>
        <v>1.7900914121273581</v>
      </c>
      <c r="P157" s="70">
        <f t="shared" si="9"/>
        <v>9.84934810643548</v>
      </c>
      <c r="Q157" s="70">
        <f t="shared" si="8"/>
        <v>1.3029127521808397</v>
      </c>
      <c r="R157" s="70">
        <f t="shared" si="7"/>
        <v>9.7662923133582833</v>
      </c>
      <c r="S157" s="70">
        <f t="shared" si="7"/>
        <v>1.1184149159642893</v>
      </c>
      <c r="T157" s="70">
        <f t="shared" si="7"/>
        <v>8.97322466309509</v>
      </c>
      <c r="U157" s="70">
        <f t="shared" si="7"/>
        <v>1.4678743481123135</v>
      </c>
      <c r="V157" s="70">
        <f t="shared" si="7"/>
        <v>8.8723469789830318</v>
      </c>
      <c r="W157" s="70">
        <f t="shared" si="7"/>
        <v>1.4158531633614351</v>
      </c>
      <c r="X157" s="70">
        <f t="shared" si="7"/>
        <v>9.2846126163507705</v>
      </c>
      <c r="Y157" s="70">
        <f t="shared" si="7"/>
        <v>0.79299251552966143</v>
      </c>
    </row>
    <row r="158" spans="1:25" ht="14" thickTop="1" x14ac:dyDescent="0.15">
      <c r="A158" s="1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</row>
    <row r="159" spans="1:25" s="64" customFormat="1" ht="14" thickBot="1" x14ac:dyDescent="0.2">
      <c r="A159" s="63" t="s">
        <v>466</v>
      </c>
      <c r="B159" s="64">
        <f>SUM(B1:B157)</f>
        <v>1077380</v>
      </c>
      <c r="D159" s="65">
        <f>SUM(D1:D157)</f>
        <v>836838</v>
      </c>
      <c r="F159" s="64">
        <f>SUM(F1:F157)</f>
        <v>5619024</v>
      </c>
      <c r="H159" s="64">
        <f>SUM(H1:H157)</f>
        <v>1956922</v>
      </c>
      <c r="J159" s="64">
        <f>SUM(J1:J157)</f>
        <v>2025681</v>
      </c>
      <c r="L159" s="64">
        <f>SUM(L1:L157)</f>
        <v>1087630</v>
      </c>
    </row>
    <row r="160" spans="1:25" x14ac:dyDescent="0.15">
      <c r="A160" s="62" t="s">
        <v>468</v>
      </c>
      <c r="B160" s="71">
        <f>B159/N161</f>
        <v>8.5482773600138062E-2</v>
      </c>
      <c r="C160" s="71"/>
      <c r="D160" s="71">
        <f>D159/N161</f>
        <v>6.639740230372973E-2</v>
      </c>
      <c r="E160" s="71"/>
      <c r="F160" s="71">
        <f>F159/N161</f>
        <v>0.4458313282646254</v>
      </c>
      <c r="G160" s="71"/>
      <c r="H160" s="71">
        <f>H159/N161</f>
        <v>0.15526844778920099</v>
      </c>
      <c r="I160" s="71"/>
      <c r="J160" s="71">
        <f>J159/N161</f>
        <v>0.16072400667276288</v>
      </c>
      <c r="K160" s="71"/>
      <c r="L160" s="71">
        <f>L159/N161</f>
        <v>8.6296041369542928E-2</v>
      </c>
      <c r="N160" s="66" t="s">
        <v>467</v>
      </c>
    </row>
    <row r="161" spans="2:14" ht="14" thickBot="1" x14ac:dyDescent="0.2">
      <c r="B161" s="73" t="str">
        <f ca="1">_xlfn.FORMULATEXT(B160)</f>
        <v>=B159/N161</v>
      </c>
      <c r="D161" t="str">
        <f ca="1">_xlfn.FORMULATEXT(D160)</f>
        <v>=D159/N161</v>
      </c>
      <c r="F161" t="str">
        <f ca="1">_xlfn.FORMULATEXT(F160)</f>
        <v>=F159/N161</v>
      </c>
      <c r="H161" t="str">
        <f ca="1">_xlfn.FORMULATEXT(H160)</f>
        <v>=H159/N161</v>
      </c>
      <c r="J161" t="str">
        <f ca="1">_xlfn.FORMULATEXT(J160)</f>
        <v>=J159/N161</v>
      </c>
      <c r="L161" t="str">
        <f ca="1">_xlfn.FORMULATEXT(L160)</f>
        <v>=L159/N161</v>
      </c>
      <c r="N161" s="67">
        <f>SUM(B159:L159)</f>
        <v>12603475</v>
      </c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XLSTAT_20211101_192941_1">
    <tabColor rgb="FF007800"/>
  </sheetPr>
  <dimension ref="B1:M314"/>
  <sheetViews>
    <sheetView topLeftCell="A58" zoomScaleNormal="100" workbookViewId="0">
      <selection activeCell="J67" sqref="J67"/>
    </sheetView>
  </sheetViews>
  <sheetFormatPr baseColWidth="10" defaultRowHeight="13" x14ac:dyDescent="0.15"/>
  <cols>
    <col min="1" max="1" width="5.83203125" customWidth="1"/>
  </cols>
  <sheetData>
    <row r="1" spans="2:9" x14ac:dyDescent="0.15">
      <c r="B1" t="s">
        <v>454</v>
      </c>
    </row>
    <row r="2" spans="2:9" x14ac:dyDescent="0.15">
      <c r="B2" t="s">
        <v>444</v>
      </c>
    </row>
    <row r="3" spans="2:9" x14ac:dyDescent="0.15">
      <c r="B3" t="s">
        <v>182</v>
      </c>
    </row>
    <row r="4" spans="2:9" x14ac:dyDescent="0.15">
      <c r="B4" t="s">
        <v>183</v>
      </c>
    </row>
    <row r="5" spans="2:9" x14ac:dyDescent="0.15">
      <c r="B5" t="s">
        <v>184</v>
      </c>
    </row>
    <row r="6" spans="2:9" ht="34.25" customHeight="1" x14ac:dyDescent="0.15"/>
    <row r="7" spans="2:9" ht="21" customHeight="1" x14ac:dyDescent="0.15">
      <c r="B7" s="4"/>
    </row>
    <row r="10" spans="2:9" x14ac:dyDescent="0.15">
      <c r="B10" s="4" t="s">
        <v>185</v>
      </c>
    </row>
    <row r="11" spans="2:9" ht="14" thickBot="1" x14ac:dyDescent="0.2"/>
    <row r="12" spans="2:9" ht="28" x14ac:dyDescent="0.15">
      <c r="B12" s="10" t="s">
        <v>186</v>
      </c>
      <c r="C12" s="11" t="s">
        <v>187</v>
      </c>
      <c r="D12" s="11" t="s">
        <v>188</v>
      </c>
      <c r="E12" s="11" t="s">
        <v>189</v>
      </c>
      <c r="F12" s="11" t="s">
        <v>190</v>
      </c>
      <c r="G12" s="11" t="s">
        <v>191</v>
      </c>
      <c r="H12" s="11" t="s">
        <v>192</v>
      </c>
      <c r="I12" s="11" t="s">
        <v>193</v>
      </c>
    </row>
    <row r="13" spans="2:9" x14ac:dyDescent="0.15">
      <c r="B13" s="12" t="s">
        <v>179</v>
      </c>
      <c r="C13" s="14">
        <v>156</v>
      </c>
      <c r="D13" s="14">
        <v>0</v>
      </c>
      <c r="E13" s="14">
        <v>156</v>
      </c>
      <c r="F13" s="17">
        <v>7.5432733467054458</v>
      </c>
      <c r="G13" s="17">
        <v>10.27900878427122</v>
      </c>
      <c r="H13" s="17">
        <v>8.64515460443147</v>
      </c>
      <c r="I13" s="17">
        <v>0.61239264640874846</v>
      </c>
    </row>
    <row r="14" spans="2:9" x14ac:dyDescent="0.15">
      <c r="B14" s="9" t="s">
        <v>169</v>
      </c>
      <c r="C14" s="15">
        <v>156</v>
      </c>
      <c r="D14" s="15">
        <v>0</v>
      </c>
      <c r="E14" s="15">
        <v>156</v>
      </c>
      <c r="F14" s="18">
        <v>1.2697605448639391</v>
      </c>
      <c r="G14" s="18">
        <v>1.7900914121273581</v>
      </c>
      <c r="H14" s="18">
        <v>1.6815474706308642</v>
      </c>
      <c r="I14" s="18">
        <v>0.10972903254880841</v>
      </c>
    </row>
    <row r="15" spans="2:9" x14ac:dyDescent="0.15">
      <c r="B15" s="9" t="s">
        <v>172</v>
      </c>
      <c r="C15" s="15">
        <v>156</v>
      </c>
      <c r="D15" s="15">
        <v>0</v>
      </c>
      <c r="E15" s="15">
        <v>156</v>
      </c>
      <c r="F15" s="18">
        <v>0.95551144502743635</v>
      </c>
      <c r="G15" s="18">
        <v>1.8389610707123492</v>
      </c>
      <c r="H15" s="18">
        <v>1.6373149418496353</v>
      </c>
      <c r="I15" s="18">
        <v>0.16067138311417037</v>
      </c>
    </row>
    <row r="16" spans="2:9" x14ac:dyDescent="0.15">
      <c r="B16" s="9" t="s">
        <v>174</v>
      </c>
      <c r="C16" s="15">
        <v>156</v>
      </c>
      <c r="D16" s="15">
        <v>0</v>
      </c>
      <c r="E16" s="15">
        <v>156</v>
      </c>
      <c r="F16" s="18">
        <v>0.51282362642866375</v>
      </c>
      <c r="G16" s="18">
        <v>1.2697605448639391</v>
      </c>
      <c r="H16" s="18">
        <v>0.98958105793969375</v>
      </c>
      <c r="I16" s="18">
        <v>0.13885612952641049</v>
      </c>
    </row>
    <row r="17" spans="2:9" x14ac:dyDescent="0.15">
      <c r="B17" s="9" t="s">
        <v>176</v>
      </c>
      <c r="C17" s="15">
        <v>156</v>
      </c>
      <c r="D17" s="15">
        <v>0</v>
      </c>
      <c r="E17" s="15">
        <v>156</v>
      </c>
      <c r="F17" s="18">
        <v>0.79750719588418817</v>
      </c>
      <c r="G17" s="18">
        <v>1.4906543764441336</v>
      </c>
      <c r="H17" s="18">
        <v>1.3504303899660413</v>
      </c>
      <c r="I17" s="18">
        <v>0.16707255202732604</v>
      </c>
    </row>
    <row r="18" spans="2:9" x14ac:dyDescent="0.15">
      <c r="B18" s="9" t="s">
        <v>178</v>
      </c>
      <c r="C18" s="15">
        <v>156</v>
      </c>
      <c r="D18" s="15">
        <v>0</v>
      </c>
      <c r="E18" s="15">
        <v>156</v>
      </c>
      <c r="F18" s="18">
        <v>0.86710048768338333</v>
      </c>
      <c r="G18" s="18">
        <v>1.6074359097634274</v>
      </c>
      <c r="H18" s="18">
        <v>1.3893426950776187</v>
      </c>
      <c r="I18" s="18">
        <v>0.14655049570642012</v>
      </c>
    </row>
    <row r="19" spans="2:9" ht="14" thickBot="1" x14ac:dyDescent="0.2">
      <c r="B19" s="13" t="s">
        <v>180</v>
      </c>
      <c r="C19" s="16">
        <v>156</v>
      </c>
      <c r="D19" s="16">
        <v>0</v>
      </c>
      <c r="E19" s="16">
        <v>156</v>
      </c>
      <c r="F19" s="19">
        <v>0.62593843086649537</v>
      </c>
      <c r="G19" s="19">
        <v>1.0986122886681098</v>
      </c>
      <c r="H19" s="19">
        <v>0.95585774489534447</v>
      </c>
      <c r="I19" s="19">
        <v>0.12442606208269026</v>
      </c>
    </row>
    <row r="22" spans="2:9" x14ac:dyDescent="0.15">
      <c r="B22" s="4" t="s">
        <v>194</v>
      </c>
    </row>
    <row r="23" spans="2:9" ht="14" thickBot="1" x14ac:dyDescent="0.2"/>
    <row r="24" spans="2:9" ht="28" x14ac:dyDescent="0.15">
      <c r="B24" s="10"/>
      <c r="C24" s="11" t="s">
        <v>169</v>
      </c>
      <c r="D24" s="11" t="s">
        <v>172</v>
      </c>
      <c r="E24" s="11" t="s">
        <v>174</v>
      </c>
      <c r="F24" s="11" t="s">
        <v>176</v>
      </c>
      <c r="G24" s="11" t="s">
        <v>178</v>
      </c>
      <c r="H24" s="11" t="s">
        <v>180</v>
      </c>
      <c r="I24" s="20" t="s">
        <v>179</v>
      </c>
    </row>
    <row r="25" spans="2:9" x14ac:dyDescent="0.15">
      <c r="B25" s="21" t="s">
        <v>169</v>
      </c>
      <c r="C25" s="27">
        <v>1</v>
      </c>
      <c r="D25" s="23">
        <v>-1.5875315508602807E-2</v>
      </c>
      <c r="E25" s="23">
        <v>0.30280790412706204</v>
      </c>
      <c r="F25" s="23">
        <v>0.11528187100139364</v>
      </c>
      <c r="G25" s="23">
        <v>0.10593256600628163</v>
      </c>
      <c r="H25" s="23">
        <v>0.26312060057623965</v>
      </c>
      <c r="I25" s="24">
        <v>-0.13980440744803294</v>
      </c>
    </row>
    <row r="26" spans="2:9" x14ac:dyDescent="0.15">
      <c r="B26" s="9" t="s">
        <v>172</v>
      </c>
      <c r="C26" s="18">
        <v>-1.5875315508602807E-2</v>
      </c>
      <c r="D26" s="2">
        <v>1</v>
      </c>
      <c r="E26" s="18">
        <v>2.5661954373896949E-2</v>
      </c>
      <c r="F26" s="18">
        <v>2.690850432760741E-2</v>
      </c>
      <c r="G26" s="18">
        <v>7.7924085921378214E-2</v>
      </c>
      <c r="H26" s="18">
        <v>0.20281919970093448</v>
      </c>
      <c r="I26" s="25">
        <v>-0.10402540662613219</v>
      </c>
    </row>
    <row r="27" spans="2:9" x14ac:dyDescent="0.15">
      <c r="B27" s="9" t="s">
        <v>174</v>
      </c>
      <c r="C27" s="18">
        <v>0.30280790412706204</v>
      </c>
      <c r="D27" s="18">
        <v>2.5661954373896949E-2</v>
      </c>
      <c r="E27" s="2">
        <v>1</v>
      </c>
      <c r="F27" s="18">
        <v>-6.9728324283180224E-2</v>
      </c>
      <c r="G27" s="18">
        <v>-6.9512189983491582E-2</v>
      </c>
      <c r="H27" s="18">
        <v>0.19184387522268667</v>
      </c>
      <c r="I27" s="25">
        <v>-6.1015466017181913E-2</v>
      </c>
    </row>
    <row r="28" spans="2:9" x14ac:dyDescent="0.15">
      <c r="B28" s="9" t="s">
        <v>176</v>
      </c>
      <c r="C28" s="18">
        <v>0.11528187100139364</v>
      </c>
      <c r="D28" s="18">
        <v>2.690850432760741E-2</v>
      </c>
      <c r="E28" s="18">
        <v>-6.9728324283180224E-2</v>
      </c>
      <c r="F28" s="2">
        <v>1</v>
      </c>
      <c r="G28" s="18">
        <v>5.8766758472414372E-4</v>
      </c>
      <c r="H28" s="18">
        <v>-2.5518683079415367E-2</v>
      </c>
      <c r="I28" s="25">
        <v>7.0503885300839522E-2</v>
      </c>
    </row>
    <row r="29" spans="2:9" x14ac:dyDescent="0.15">
      <c r="B29" s="9" t="s">
        <v>178</v>
      </c>
      <c r="C29" s="18">
        <v>0.10593256600628163</v>
      </c>
      <c r="D29" s="18">
        <v>7.7924085921378214E-2</v>
      </c>
      <c r="E29" s="18">
        <v>-6.9512189983491582E-2</v>
      </c>
      <c r="F29" s="18">
        <v>5.8766758472414372E-4</v>
      </c>
      <c r="G29" s="2">
        <v>1</v>
      </c>
      <c r="H29" s="18">
        <v>4.2788420832566912E-2</v>
      </c>
      <c r="I29" s="25">
        <v>0.11522444684209995</v>
      </c>
    </row>
    <row r="30" spans="2:9" x14ac:dyDescent="0.15">
      <c r="B30" s="9" t="s">
        <v>180</v>
      </c>
      <c r="C30" s="18">
        <v>0.26312060057623965</v>
      </c>
      <c r="D30" s="18">
        <v>0.20281919970093448</v>
      </c>
      <c r="E30" s="18">
        <v>0.19184387522268667</v>
      </c>
      <c r="F30" s="18">
        <v>-2.5518683079415367E-2</v>
      </c>
      <c r="G30" s="18">
        <v>4.2788420832566912E-2</v>
      </c>
      <c r="H30" s="2">
        <v>1</v>
      </c>
      <c r="I30" s="25">
        <v>-0.89616783670576516</v>
      </c>
    </row>
    <row r="31" spans="2:9" ht="14" thickBot="1" x14ac:dyDescent="0.2">
      <c r="B31" s="22" t="s">
        <v>179</v>
      </c>
      <c r="C31" s="26">
        <v>-0.13980440744803294</v>
      </c>
      <c r="D31" s="26">
        <v>-0.10402540662613219</v>
      </c>
      <c r="E31" s="26">
        <v>-6.1015466017181913E-2</v>
      </c>
      <c r="F31" s="26">
        <v>7.0503885300839522E-2</v>
      </c>
      <c r="G31" s="26">
        <v>0.11522444684209995</v>
      </c>
      <c r="H31" s="26">
        <v>-0.89616783670576516</v>
      </c>
      <c r="I31" s="28">
        <v>1</v>
      </c>
    </row>
    <row r="34" spans="2:3" x14ac:dyDescent="0.15">
      <c r="B34" s="8" t="s">
        <v>445</v>
      </c>
    </row>
    <row r="36" spans="2:3" x14ac:dyDescent="0.15">
      <c r="B36" s="4" t="s">
        <v>446</v>
      </c>
    </row>
    <row r="37" spans="2:3" ht="14" thickBot="1" x14ac:dyDescent="0.2"/>
    <row r="38" spans="2:3" x14ac:dyDescent="0.15">
      <c r="B38" s="29" t="s">
        <v>187</v>
      </c>
      <c r="C38" s="30">
        <v>156</v>
      </c>
    </row>
    <row r="39" spans="2:3" x14ac:dyDescent="0.15">
      <c r="B39" s="9" t="s">
        <v>197</v>
      </c>
      <c r="C39" s="15">
        <v>156</v>
      </c>
    </row>
    <row r="40" spans="2:3" x14ac:dyDescent="0.15">
      <c r="B40" s="9" t="s">
        <v>198</v>
      </c>
      <c r="C40" s="15">
        <v>149</v>
      </c>
    </row>
    <row r="41" spans="2:3" x14ac:dyDescent="0.15">
      <c r="B41" s="9" t="s">
        <v>199</v>
      </c>
      <c r="C41" s="18">
        <v>0.85278191503548539</v>
      </c>
    </row>
    <row r="42" spans="2:3" x14ac:dyDescent="0.15">
      <c r="B42" s="9" t="s">
        <v>200</v>
      </c>
      <c r="C42" s="18">
        <v>0.84685367000335732</v>
      </c>
    </row>
    <row r="43" spans="2:3" x14ac:dyDescent="0.15">
      <c r="B43" s="9" t="s">
        <v>201</v>
      </c>
      <c r="C43" s="18">
        <v>5.7433664637355483E-2</v>
      </c>
    </row>
    <row r="44" spans="2:3" x14ac:dyDescent="0.15">
      <c r="B44" s="9" t="s">
        <v>202</v>
      </c>
      <c r="C44" s="18">
        <v>0.23965321745671492</v>
      </c>
    </row>
    <row r="45" spans="2:3" x14ac:dyDescent="0.15">
      <c r="B45" s="9" t="s">
        <v>203</v>
      </c>
      <c r="C45" s="18">
        <v>2.1707301691181629</v>
      </c>
    </row>
    <row r="46" spans="2:3" x14ac:dyDescent="0.15">
      <c r="B46" s="9" t="s">
        <v>204</v>
      </c>
      <c r="C46" s="18">
        <v>1.3595052243527641</v>
      </c>
    </row>
    <row r="47" spans="2:3" x14ac:dyDescent="0.15">
      <c r="B47" s="9" t="s">
        <v>205</v>
      </c>
      <c r="C47" s="18">
        <v>7</v>
      </c>
    </row>
    <row r="48" spans="2:3" x14ac:dyDescent="0.15">
      <c r="B48" s="9" t="s">
        <v>206</v>
      </c>
      <c r="C48" s="18">
        <v>-438.87335968262209</v>
      </c>
    </row>
    <row r="49" spans="2:8" x14ac:dyDescent="0.15">
      <c r="B49" s="9" t="s">
        <v>207</v>
      </c>
      <c r="C49" s="18">
        <v>-417.52436763187535</v>
      </c>
    </row>
    <row r="50" spans="2:8" ht="14" thickBot="1" x14ac:dyDescent="0.2">
      <c r="B50" s="13" t="s">
        <v>208</v>
      </c>
      <c r="C50" s="19">
        <v>0.16105065670614685</v>
      </c>
    </row>
    <row r="53" spans="2:8" x14ac:dyDescent="0.15">
      <c r="B53" s="4" t="s">
        <v>447</v>
      </c>
    </row>
    <row r="54" spans="2:8" ht="14" thickBot="1" x14ac:dyDescent="0.2"/>
    <row r="55" spans="2:8" ht="28" x14ac:dyDescent="0.15">
      <c r="B55" s="10" t="s">
        <v>210</v>
      </c>
      <c r="C55" s="11" t="s">
        <v>198</v>
      </c>
      <c r="D55" s="11" t="s">
        <v>211</v>
      </c>
      <c r="E55" s="11" t="s">
        <v>212</v>
      </c>
      <c r="F55" s="11" t="s">
        <v>213</v>
      </c>
      <c r="G55" s="11" t="s">
        <v>214</v>
      </c>
    </row>
    <row r="56" spans="2:8" x14ac:dyDescent="0.15">
      <c r="B56" s="21" t="s">
        <v>215</v>
      </c>
      <c r="C56" s="31">
        <v>6</v>
      </c>
      <c r="D56" s="23">
        <v>49.571220742238168</v>
      </c>
      <c r="E56" s="23">
        <v>8.2618701237063608</v>
      </c>
      <c r="F56" s="23">
        <v>143.85065232861268</v>
      </c>
      <c r="G56" s="35">
        <v>2.1744381689887949E-59</v>
      </c>
    </row>
    <row r="57" spans="2:8" x14ac:dyDescent="0.15">
      <c r="B57" s="9" t="s">
        <v>216</v>
      </c>
      <c r="C57" s="15">
        <v>149</v>
      </c>
      <c r="D57" s="18">
        <v>8.557616030965967</v>
      </c>
      <c r="E57" s="18">
        <v>5.7433664637355483E-2</v>
      </c>
      <c r="F57" s="18"/>
      <c r="G57" s="36"/>
    </row>
    <row r="58" spans="2:8" ht="14" thickBot="1" x14ac:dyDescent="0.2">
      <c r="B58" s="13" t="s">
        <v>217</v>
      </c>
      <c r="C58" s="16">
        <v>155</v>
      </c>
      <c r="D58" s="19">
        <v>58.128836773204135</v>
      </c>
      <c r="E58" s="19"/>
      <c r="F58" s="19"/>
      <c r="G58" s="37"/>
    </row>
    <row r="59" spans="2:8" x14ac:dyDescent="0.15">
      <c r="B59" s="38" t="s">
        <v>218</v>
      </c>
    </row>
    <row r="62" spans="2:8" x14ac:dyDescent="0.15">
      <c r="B62" s="4" t="s">
        <v>448</v>
      </c>
    </row>
    <row r="63" spans="2:8" ht="14" thickBot="1" x14ac:dyDescent="0.2"/>
    <row r="64" spans="2:8" ht="26" customHeight="1" x14ac:dyDescent="0.15">
      <c r="B64" s="41" t="s">
        <v>210</v>
      </c>
      <c r="C64" s="42" t="s">
        <v>220</v>
      </c>
      <c r="D64" s="42" t="s">
        <v>221</v>
      </c>
      <c r="E64" s="42" t="s">
        <v>222</v>
      </c>
      <c r="F64" s="42" t="s">
        <v>223</v>
      </c>
      <c r="G64" s="42" t="s">
        <v>224</v>
      </c>
      <c r="H64" s="42" t="s">
        <v>225</v>
      </c>
    </row>
    <row r="65" spans="2:8" x14ac:dyDescent="0.15">
      <c r="B65" s="43" t="s">
        <v>226</v>
      </c>
      <c r="C65" s="44">
        <v>10.525595776461568</v>
      </c>
      <c r="D65" s="44">
        <v>0.40829556783622911</v>
      </c>
      <c r="E65" s="44">
        <v>25.779353501783483</v>
      </c>
      <c r="F65" s="45">
        <v>8.6229538709817761E-57</v>
      </c>
      <c r="G65" s="44">
        <v>9.7187983540250897</v>
      </c>
      <c r="H65" s="44">
        <v>11.332393198898046</v>
      </c>
    </row>
    <row r="66" spans="2:8" x14ac:dyDescent="0.15">
      <c r="B66" s="46" t="s">
        <v>169</v>
      </c>
      <c r="C66" s="47">
        <v>0.3091811700326873</v>
      </c>
      <c r="D66" s="47">
        <v>0.19309201846855775</v>
      </c>
      <c r="E66" s="47">
        <v>1.6012115492129106</v>
      </c>
      <c r="F66" s="49">
        <v>0.11144811883397265</v>
      </c>
      <c r="G66" s="47">
        <v>-7.2371202967786818E-2</v>
      </c>
      <c r="H66" s="47">
        <v>0.69073354303316137</v>
      </c>
    </row>
    <row r="67" spans="2:8" x14ac:dyDescent="0.15">
      <c r="B67" s="46" t="s">
        <v>172</v>
      </c>
      <c r="C67" s="47">
        <v>0.28258265899528634</v>
      </c>
      <c r="D67" s="47">
        <v>0.12319932616599621</v>
      </c>
      <c r="E67" s="47">
        <v>2.2937029591747957</v>
      </c>
      <c r="F67" s="48">
        <v>2.3205572206839165E-2</v>
      </c>
      <c r="G67" s="47">
        <v>3.9139167008849479E-2</v>
      </c>
      <c r="H67" s="47">
        <v>0.52602615098172323</v>
      </c>
    </row>
    <row r="68" spans="2:8" x14ac:dyDescent="0.15">
      <c r="B68" s="46" t="s">
        <v>174</v>
      </c>
      <c r="C68" s="47">
        <v>0.51619855433131412</v>
      </c>
      <c r="D68" s="47">
        <v>0.14831272913852139</v>
      </c>
      <c r="E68" s="47">
        <v>3.480473708019991</v>
      </c>
      <c r="F68" s="48">
        <v>6.5680212441954211E-4</v>
      </c>
      <c r="G68" s="47">
        <v>0.22313064713454872</v>
      </c>
      <c r="H68" s="47">
        <v>0.80926646152807957</v>
      </c>
    </row>
    <row r="69" spans="2:8" x14ac:dyDescent="0.15">
      <c r="B69" s="46" t="s">
        <v>176</v>
      </c>
      <c r="C69" s="47">
        <v>0.16809545125022093</v>
      </c>
      <c r="D69" s="47">
        <v>0.11697484814617508</v>
      </c>
      <c r="E69" s="47">
        <v>1.437022179675447</v>
      </c>
      <c r="F69" s="49">
        <v>0.15280826175598272</v>
      </c>
      <c r="G69" s="47">
        <v>-6.3048390144812672E-2</v>
      </c>
      <c r="H69" s="47">
        <v>0.39923929264525454</v>
      </c>
    </row>
    <row r="70" spans="2:8" x14ac:dyDescent="0.15">
      <c r="B70" s="46" t="s">
        <v>178</v>
      </c>
      <c r="C70" s="47">
        <v>0.63721320834866713</v>
      </c>
      <c r="D70" s="47">
        <v>0.13338475673488978</v>
      </c>
      <c r="E70" s="47">
        <v>4.7772565917345915</v>
      </c>
      <c r="F70" s="48">
        <v>4.2155162172097249E-6</v>
      </c>
      <c r="G70" s="47">
        <v>0.37364317133765829</v>
      </c>
      <c r="H70" s="47">
        <v>0.90078324535967602</v>
      </c>
    </row>
    <row r="71" spans="2:8" ht="14" thickBot="1" x14ac:dyDescent="0.2">
      <c r="B71" s="50" t="s">
        <v>180</v>
      </c>
      <c r="C71" s="51">
        <v>-4.6933237229235285</v>
      </c>
      <c r="D71" s="51">
        <v>0.16558086327436891</v>
      </c>
      <c r="E71" s="51">
        <v>-28.344602329718807</v>
      </c>
      <c r="F71" s="53">
        <v>0</v>
      </c>
      <c r="G71" s="51">
        <v>-5.0205136907268333</v>
      </c>
      <c r="H71" s="51">
        <v>-4.3661337551202237</v>
      </c>
    </row>
    <row r="74" spans="2:8" x14ac:dyDescent="0.15">
      <c r="B74" s="4" t="s">
        <v>449</v>
      </c>
    </row>
    <row r="76" spans="2:8" x14ac:dyDescent="0.15">
      <c r="B76" t="s">
        <v>450</v>
      </c>
    </row>
    <row r="79" spans="2:8" x14ac:dyDescent="0.15">
      <c r="B79" s="4" t="s">
        <v>451</v>
      </c>
    </row>
    <row r="80" spans="2:8" ht="14" thickBot="1" x14ac:dyDescent="0.2"/>
    <row r="81" spans="2:8" ht="26" customHeight="1" x14ac:dyDescent="0.15">
      <c r="B81" s="10" t="s">
        <v>210</v>
      </c>
      <c r="C81" s="11" t="s">
        <v>220</v>
      </c>
      <c r="D81" s="11" t="s">
        <v>221</v>
      </c>
      <c r="E81" s="11" t="s">
        <v>222</v>
      </c>
      <c r="F81" s="11" t="s">
        <v>223</v>
      </c>
      <c r="G81" s="11" t="s">
        <v>224</v>
      </c>
      <c r="H81" s="11" t="s">
        <v>225</v>
      </c>
    </row>
    <row r="82" spans="2:8" x14ac:dyDescent="0.15">
      <c r="B82" s="21" t="s">
        <v>169</v>
      </c>
      <c r="C82" s="23">
        <v>5.5399343654677087E-2</v>
      </c>
      <c r="D82" s="23">
        <v>3.4598391250618393E-2</v>
      </c>
      <c r="E82" s="23">
        <v>1.6012115492129106</v>
      </c>
      <c r="F82" s="32">
        <v>0.11144811883397265</v>
      </c>
      <c r="G82" s="23">
        <v>-1.2967533383391149E-2</v>
      </c>
      <c r="H82" s="23">
        <v>0.12376622069274532</v>
      </c>
    </row>
    <row r="83" spans="2:8" x14ac:dyDescent="0.15">
      <c r="B83" s="9" t="s">
        <v>172</v>
      </c>
      <c r="C83" s="18">
        <v>7.4140254510090722E-2</v>
      </c>
      <c r="D83" s="18">
        <v>3.2323389658425572E-2</v>
      </c>
      <c r="E83" s="18">
        <v>2.2937029591747957</v>
      </c>
      <c r="F83" s="36">
        <v>2.3205572206839165E-2</v>
      </c>
      <c r="G83" s="18">
        <v>1.0268810597459377E-2</v>
      </c>
      <c r="H83" s="18">
        <v>0.13801169842272207</v>
      </c>
    </row>
    <row r="84" spans="2:8" x14ac:dyDescent="0.15">
      <c r="B84" s="9" t="s">
        <v>174</v>
      </c>
      <c r="C84" s="18">
        <v>0.11704473223496699</v>
      </c>
      <c r="D84" s="18">
        <v>3.3628966070125166E-2</v>
      </c>
      <c r="E84" s="18">
        <v>3.4804737080199906</v>
      </c>
      <c r="F84" s="36">
        <v>6.5680212441954211E-4</v>
      </c>
      <c r="G84" s="18">
        <v>5.0593452128337088E-2</v>
      </c>
      <c r="H84" s="18">
        <v>0.1834960123415969</v>
      </c>
    </row>
    <row r="85" spans="2:8" x14ac:dyDescent="0.15">
      <c r="B85" s="9" t="s">
        <v>176</v>
      </c>
      <c r="C85" s="18">
        <v>4.585968853357901E-2</v>
      </c>
      <c r="D85" s="18">
        <v>3.1912999800696513E-2</v>
      </c>
      <c r="E85" s="18">
        <v>1.437022179675447</v>
      </c>
      <c r="F85" s="33">
        <v>0.15280826175598272</v>
      </c>
      <c r="G85" s="18">
        <v>-1.7200819612189722E-2</v>
      </c>
      <c r="H85" s="18">
        <v>0.10892019667934774</v>
      </c>
    </row>
    <row r="86" spans="2:8" x14ac:dyDescent="0.15">
      <c r="B86" s="9" t="s">
        <v>178</v>
      </c>
      <c r="C86" s="18">
        <v>0.15249025621356882</v>
      </c>
      <c r="D86" s="18">
        <v>3.1920047266751607E-2</v>
      </c>
      <c r="E86" s="18">
        <v>4.7772565917345906</v>
      </c>
      <c r="F86" s="36">
        <v>4.2155162172097249E-6</v>
      </c>
      <c r="G86" s="18">
        <v>8.9415822182005916E-2</v>
      </c>
      <c r="H86" s="18">
        <v>0.21556469024513172</v>
      </c>
    </row>
    <row r="87" spans="2:8" ht="14" thickBot="1" x14ac:dyDescent="0.2">
      <c r="B87" s="13" t="s">
        <v>180</v>
      </c>
      <c r="C87" s="19">
        <v>-0.95359046576935425</v>
      </c>
      <c r="D87" s="19">
        <v>3.3642753377757982E-2</v>
      </c>
      <c r="E87" s="19">
        <v>-28.344602329718811</v>
      </c>
      <c r="F87" s="37">
        <v>0</v>
      </c>
      <c r="G87" s="19">
        <v>-1.0200689897775514</v>
      </c>
      <c r="H87" s="19">
        <v>-0.88711194176115704</v>
      </c>
    </row>
    <row r="109" spans="2:6" x14ac:dyDescent="0.15">
      <c r="F109" t="s">
        <v>230</v>
      </c>
    </row>
    <row r="112" spans="2:6" x14ac:dyDescent="0.15">
      <c r="B112" s="4" t="s">
        <v>452</v>
      </c>
    </row>
    <row r="113" spans="2:13" ht="14" thickBot="1" x14ac:dyDescent="0.2"/>
    <row r="114" spans="2:13" ht="56" x14ac:dyDescent="0.15">
      <c r="B114" s="10" t="s">
        <v>232</v>
      </c>
      <c r="C114" s="11" t="s">
        <v>233</v>
      </c>
      <c r="D114" s="11" t="s">
        <v>179</v>
      </c>
      <c r="E114" s="11" t="s">
        <v>453</v>
      </c>
      <c r="F114" s="11" t="s">
        <v>391</v>
      </c>
      <c r="G114" s="11" t="s">
        <v>392</v>
      </c>
      <c r="H114" s="11" t="s">
        <v>393</v>
      </c>
      <c r="I114" s="11" t="s">
        <v>394</v>
      </c>
      <c r="J114" s="11" t="s">
        <v>395</v>
      </c>
      <c r="K114" s="11" t="s">
        <v>396</v>
      </c>
      <c r="L114" s="11" t="s">
        <v>397</v>
      </c>
      <c r="M114" s="11" t="s">
        <v>398</v>
      </c>
    </row>
    <row r="115" spans="2:13" x14ac:dyDescent="0.15">
      <c r="B115" s="21" t="s">
        <v>234</v>
      </c>
      <c r="C115" s="31">
        <v>1</v>
      </c>
      <c r="D115" s="23">
        <v>9.3396127076803221</v>
      </c>
      <c r="E115" s="23">
        <v>9.2362359313626303</v>
      </c>
      <c r="F115" s="23">
        <v>0.10337677631769182</v>
      </c>
      <c r="G115" s="23">
        <v>0.4313598516004204</v>
      </c>
      <c r="H115" s="23">
        <v>3.054294398754746E-2</v>
      </c>
      <c r="I115" s="23">
        <v>9.1758826715578135</v>
      </c>
      <c r="J115" s="23">
        <v>9.2965891911674472</v>
      </c>
      <c r="K115" s="23">
        <v>0.24159167217597122</v>
      </c>
      <c r="L115" s="23">
        <v>8.7588476035229448</v>
      </c>
      <c r="M115" s="23">
        <v>9.7136242592023159</v>
      </c>
    </row>
    <row r="116" spans="2:13" x14ac:dyDescent="0.15">
      <c r="B116" s="9" t="s">
        <v>235</v>
      </c>
      <c r="C116" s="15">
        <v>1</v>
      </c>
      <c r="D116" s="18">
        <v>9.0431044526002697</v>
      </c>
      <c r="E116" s="18">
        <v>9.1689488795138381</v>
      </c>
      <c r="F116" s="18">
        <v>-0.12584442691356834</v>
      </c>
      <c r="G116" s="18">
        <v>-0.52511052532102054</v>
      </c>
      <c r="H116" s="18">
        <v>2.9572989706581575E-2</v>
      </c>
      <c r="I116" s="18">
        <v>9.1105122621499657</v>
      </c>
      <c r="J116" s="18">
        <v>9.2273854968777105</v>
      </c>
      <c r="K116" s="18">
        <v>0.2414709637980125</v>
      </c>
      <c r="L116" s="18">
        <v>8.6917990730196557</v>
      </c>
      <c r="M116" s="18">
        <v>9.6460986860080205</v>
      </c>
    </row>
    <row r="117" spans="2:13" x14ac:dyDescent="0.15">
      <c r="B117" s="9" t="s">
        <v>236</v>
      </c>
      <c r="C117" s="15">
        <v>1</v>
      </c>
      <c r="D117" s="18">
        <v>8.7827830173932018</v>
      </c>
      <c r="E117" s="18">
        <v>8.9372566421809374</v>
      </c>
      <c r="F117" s="18">
        <v>-0.15447362478773563</v>
      </c>
      <c r="G117" s="18">
        <v>-0.64457146216130379</v>
      </c>
      <c r="H117" s="18">
        <v>4.8513551314821858E-2</v>
      </c>
      <c r="I117" s="18">
        <v>8.8413932254863496</v>
      </c>
      <c r="J117" s="18">
        <v>9.0331200588755252</v>
      </c>
      <c r="K117" s="18">
        <v>0.24451427217757932</v>
      </c>
      <c r="L117" s="18">
        <v>8.4540932182249602</v>
      </c>
      <c r="M117" s="18">
        <v>9.4204200661369146</v>
      </c>
    </row>
    <row r="118" spans="2:13" x14ac:dyDescent="0.15">
      <c r="B118" s="9" t="s">
        <v>237</v>
      </c>
      <c r="C118" s="15">
        <v>1</v>
      </c>
      <c r="D118" s="18">
        <v>9.146761390333312</v>
      </c>
      <c r="E118" s="18">
        <v>9.2414963557441823</v>
      </c>
      <c r="F118" s="18">
        <v>-9.4734965410870231E-2</v>
      </c>
      <c r="G118" s="18">
        <v>-0.39530020258534954</v>
      </c>
      <c r="H118" s="18">
        <v>3.7859937501005268E-2</v>
      </c>
      <c r="I118" s="18">
        <v>9.1666846203357064</v>
      </c>
      <c r="J118" s="18">
        <v>9.3163080911526581</v>
      </c>
      <c r="K118" s="18">
        <v>0.2426253068105953</v>
      </c>
      <c r="L118" s="18">
        <v>8.7620655522455646</v>
      </c>
      <c r="M118" s="18">
        <v>9.7209271592427999</v>
      </c>
    </row>
    <row r="119" spans="2:13" x14ac:dyDescent="0.15">
      <c r="B119" s="9" t="s">
        <v>238</v>
      </c>
      <c r="C119" s="15">
        <v>1</v>
      </c>
      <c r="D119" s="18">
        <v>9.1351856983754232</v>
      </c>
      <c r="E119" s="18">
        <v>9.2234702497743335</v>
      </c>
      <c r="F119" s="18">
        <v>-8.8284551398910338E-2</v>
      </c>
      <c r="G119" s="18">
        <v>-0.36838458642791178</v>
      </c>
      <c r="H119" s="18">
        <v>3.3800325991326305E-2</v>
      </c>
      <c r="I119" s="18">
        <v>9.1566803602052822</v>
      </c>
      <c r="J119" s="18">
        <v>9.2902601393433848</v>
      </c>
      <c r="K119" s="18">
        <v>0.24202505381566475</v>
      </c>
      <c r="L119" s="18">
        <v>8.7452255541036443</v>
      </c>
      <c r="M119" s="18">
        <v>9.7017149454450227</v>
      </c>
    </row>
    <row r="120" spans="2:13" x14ac:dyDescent="0.15">
      <c r="B120" s="9" t="s">
        <v>239</v>
      </c>
      <c r="C120" s="15">
        <v>1</v>
      </c>
      <c r="D120" s="18">
        <v>8.7747768160439854</v>
      </c>
      <c r="E120" s="18">
        <v>9.15864335376172</v>
      </c>
      <c r="F120" s="18">
        <v>-0.3838665377177346</v>
      </c>
      <c r="G120" s="18">
        <v>-1.6017583314401644</v>
      </c>
      <c r="H120" s="18">
        <v>4.3383237400372421E-2</v>
      </c>
      <c r="I120" s="18">
        <v>9.0729175049677657</v>
      </c>
      <c r="J120" s="18">
        <v>9.2443692025556743</v>
      </c>
      <c r="K120" s="18">
        <v>0.24354829074475673</v>
      </c>
      <c r="L120" s="18">
        <v>8.6773887218464036</v>
      </c>
      <c r="M120" s="18">
        <v>9.6398979856770364</v>
      </c>
    </row>
    <row r="121" spans="2:13" x14ac:dyDescent="0.15">
      <c r="B121" s="9" t="s">
        <v>240</v>
      </c>
      <c r="C121" s="15">
        <v>1</v>
      </c>
      <c r="D121" s="18">
        <v>8.913011922472597</v>
      </c>
      <c r="E121" s="18">
        <v>8.756392265940562</v>
      </c>
      <c r="F121" s="18">
        <v>0.15661965653203502</v>
      </c>
      <c r="G121" s="18">
        <v>0.65352620004078588</v>
      </c>
      <c r="H121" s="18">
        <v>7.8101825267522934E-2</v>
      </c>
      <c r="I121" s="18">
        <v>8.6020620300103587</v>
      </c>
      <c r="J121" s="18">
        <v>8.9107225018707652</v>
      </c>
      <c r="K121" s="18">
        <v>0.25205864346908274</v>
      </c>
      <c r="L121" s="18">
        <v>8.2583210648951937</v>
      </c>
      <c r="M121" s="18">
        <v>9.2544634669859303</v>
      </c>
    </row>
    <row r="122" spans="2:13" x14ac:dyDescent="0.15">
      <c r="B122" s="9" t="s">
        <v>241</v>
      </c>
      <c r="C122" s="15">
        <v>1</v>
      </c>
      <c r="D122" s="18">
        <v>9.1178960815849024</v>
      </c>
      <c r="E122" s="18">
        <v>9.0390507471629427</v>
      </c>
      <c r="F122" s="18">
        <v>7.8845334421959734E-2</v>
      </c>
      <c r="G122" s="18">
        <v>0.32899760436640257</v>
      </c>
      <c r="H122" s="18">
        <v>4.1328051281118307E-2</v>
      </c>
      <c r="I122" s="18">
        <v>8.9573859732232393</v>
      </c>
      <c r="J122" s="18">
        <v>9.1207155211026461</v>
      </c>
      <c r="K122" s="18">
        <v>0.24319060931715727</v>
      </c>
      <c r="L122" s="18">
        <v>8.5585028984619775</v>
      </c>
      <c r="M122" s="18">
        <v>9.5195985958639078</v>
      </c>
    </row>
    <row r="123" spans="2:13" x14ac:dyDescent="0.15">
      <c r="B123" s="9" t="s">
        <v>242</v>
      </c>
      <c r="C123" s="15">
        <v>1</v>
      </c>
      <c r="D123" s="18">
        <v>9.3772098242112154</v>
      </c>
      <c r="E123" s="18">
        <v>9.2729275717531383</v>
      </c>
      <c r="F123" s="18">
        <v>0.1042822524580771</v>
      </c>
      <c r="G123" s="18">
        <v>0.43513812818687519</v>
      </c>
      <c r="H123" s="18">
        <v>3.9709727501884243E-2</v>
      </c>
      <c r="I123" s="18">
        <v>9.1944606269269684</v>
      </c>
      <c r="J123" s="18">
        <v>9.3513945165793082</v>
      </c>
      <c r="K123" s="18">
        <v>0.24292082474672563</v>
      </c>
      <c r="L123" s="18">
        <v>8.7929128209184828</v>
      </c>
      <c r="M123" s="18">
        <v>9.7529423225877938</v>
      </c>
    </row>
    <row r="124" spans="2:13" x14ac:dyDescent="0.15">
      <c r="B124" s="9" t="s">
        <v>243</v>
      </c>
      <c r="C124" s="15">
        <v>1</v>
      </c>
      <c r="D124" s="18">
        <v>8.9266503207939394</v>
      </c>
      <c r="E124" s="18">
        <v>9.0958466387500412</v>
      </c>
      <c r="F124" s="18">
        <v>-0.16919631795610179</v>
      </c>
      <c r="G124" s="18">
        <v>-0.70600478371070174</v>
      </c>
      <c r="H124" s="18">
        <v>2.788359069021052E-2</v>
      </c>
      <c r="I124" s="18">
        <v>9.0407482961048942</v>
      </c>
      <c r="J124" s="18">
        <v>9.1509449813951882</v>
      </c>
      <c r="K124" s="18">
        <v>0.24126988885299111</v>
      </c>
      <c r="L124" s="18">
        <v>8.6190941589969245</v>
      </c>
      <c r="M124" s="18">
        <v>9.5725991185031578</v>
      </c>
    </row>
    <row r="125" spans="2:13" x14ac:dyDescent="0.15">
      <c r="B125" s="9" t="s">
        <v>244</v>
      </c>
      <c r="C125" s="15">
        <v>1</v>
      </c>
      <c r="D125" s="18">
        <v>8.2498364854257016</v>
      </c>
      <c r="E125" s="18">
        <v>8.6067473534942955</v>
      </c>
      <c r="F125" s="18">
        <v>-0.35691086806859396</v>
      </c>
      <c r="G125" s="18">
        <v>-1.4892805189776248</v>
      </c>
      <c r="H125" s="18">
        <v>8.7105081962658995E-2</v>
      </c>
      <c r="I125" s="18">
        <v>8.4346265636923849</v>
      </c>
      <c r="J125" s="18">
        <v>8.7788681432962061</v>
      </c>
      <c r="K125" s="18">
        <v>0.25499207819278824</v>
      </c>
      <c r="L125" s="18">
        <v>8.1028796467789945</v>
      </c>
      <c r="M125" s="18">
        <v>9.1106150602095965</v>
      </c>
    </row>
    <row r="126" spans="2:13" x14ac:dyDescent="0.15">
      <c r="B126" s="9" t="s">
        <v>245</v>
      </c>
      <c r="C126" s="15">
        <v>1</v>
      </c>
      <c r="D126" s="18">
        <v>10.250192965437369</v>
      </c>
      <c r="E126" s="18">
        <v>9.8767769480482883</v>
      </c>
      <c r="F126" s="18">
        <v>0.37341601738908103</v>
      </c>
      <c r="G126" s="18">
        <v>1.558151488020501</v>
      </c>
      <c r="H126" s="18">
        <v>4.9442383327586589E-2</v>
      </c>
      <c r="I126" s="18">
        <v>9.7790781470566177</v>
      </c>
      <c r="J126" s="18">
        <v>9.9744757490399589</v>
      </c>
      <c r="K126" s="18">
        <v>0.24470025318022762</v>
      </c>
      <c r="L126" s="18">
        <v>9.3932460231802786</v>
      </c>
      <c r="M126" s="18">
        <v>10.360307872916298</v>
      </c>
    </row>
    <row r="127" spans="2:13" x14ac:dyDescent="0.15">
      <c r="B127" s="9" t="s">
        <v>246</v>
      </c>
      <c r="C127" s="15">
        <v>1</v>
      </c>
      <c r="D127" s="18">
        <v>9.074062353683555</v>
      </c>
      <c r="E127" s="18">
        <v>8.7186847790183428</v>
      </c>
      <c r="F127" s="18">
        <v>0.35537757466521214</v>
      </c>
      <c r="G127" s="18">
        <v>1.4828825518664226</v>
      </c>
      <c r="H127" s="18">
        <v>2.9681979302733603E-2</v>
      </c>
      <c r="I127" s="18">
        <v>8.6600327967762443</v>
      </c>
      <c r="J127" s="18">
        <v>8.7773367612604414</v>
      </c>
      <c r="K127" s="18">
        <v>0.2414843359985972</v>
      </c>
      <c r="L127" s="18">
        <v>8.2415085488795921</v>
      </c>
      <c r="M127" s="18">
        <v>9.1958610091570936</v>
      </c>
    </row>
    <row r="128" spans="2:13" x14ac:dyDescent="0.15">
      <c r="B128" s="9" t="s">
        <v>247</v>
      </c>
      <c r="C128" s="15">
        <v>1</v>
      </c>
      <c r="D128" s="18">
        <v>8.8983656069553572</v>
      </c>
      <c r="E128" s="18">
        <v>8.6736204877705241</v>
      </c>
      <c r="F128" s="18">
        <v>0.22474511918483309</v>
      </c>
      <c r="G128" s="18">
        <v>0.93779303933370117</v>
      </c>
      <c r="H128" s="18">
        <v>3.8072915879332779E-2</v>
      </c>
      <c r="I128" s="18">
        <v>8.5983879042799103</v>
      </c>
      <c r="J128" s="18">
        <v>8.7488530712611379</v>
      </c>
      <c r="K128" s="18">
        <v>0.24265863174614299</v>
      </c>
      <c r="L128" s="18">
        <v>8.1941238337601181</v>
      </c>
      <c r="M128" s="18">
        <v>9.1531171417809301</v>
      </c>
    </row>
    <row r="129" spans="2:13" x14ac:dyDescent="0.15">
      <c r="B129" s="9" t="s">
        <v>248</v>
      </c>
      <c r="C129" s="15">
        <v>1</v>
      </c>
      <c r="D129" s="18">
        <v>8.7171909332231348</v>
      </c>
      <c r="E129" s="18">
        <v>8.7343695112210753</v>
      </c>
      <c r="F129" s="18">
        <v>-1.7178577997940536E-2</v>
      </c>
      <c r="G129" s="18">
        <v>-7.1680982130119961E-2</v>
      </c>
      <c r="H129" s="18">
        <v>2.9404728764890978E-2</v>
      </c>
      <c r="I129" s="18">
        <v>8.6762653796952751</v>
      </c>
      <c r="J129" s="18">
        <v>8.7924736427468755</v>
      </c>
      <c r="K129" s="18">
        <v>0.2414504146012019</v>
      </c>
      <c r="L129" s="18">
        <v>8.257260310210583</v>
      </c>
      <c r="M129" s="18">
        <v>9.2114787122315676</v>
      </c>
    </row>
    <row r="130" spans="2:13" x14ac:dyDescent="0.15">
      <c r="B130" s="9" t="s">
        <v>249</v>
      </c>
      <c r="C130" s="15">
        <v>1</v>
      </c>
      <c r="D130" s="18">
        <v>9.1546162232038206</v>
      </c>
      <c r="E130" s="18">
        <v>9.0063478995364576</v>
      </c>
      <c r="F130" s="18">
        <v>0.14826832366736298</v>
      </c>
      <c r="G130" s="18">
        <v>0.61867862756377356</v>
      </c>
      <c r="H130" s="18">
        <v>4.2663194978388705E-2</v>
      </c>
      <c r="I130" s="18">
        <v>8.9220448640568382</v>
      </c>
      <c r="J130" s="18">
        <v>9.0906509350160771</v>
      </c>
      <c r="K130" s="18">
        <v>0.2434210608043591</v>
      </c>
      <c r="L130" s="18">
        <v>8.5253446756599622</v>
      </c>
      <c r="M130" s="18">
        <v>9.4873511234129531</v>
      </c>
    </row>
    <row r="131" spans="2:13" x14ac:dyDescent="0.15">
      <c r="B131" s="9" t="s">
        <v>250</v>
      </c>
      <c r="C131" s="15">
        <v>1</v>
      </c>
      <c r="D131" s="18">
        <v>8.8968617444803915</v>
      </c>
      <c r="E131" s="18">
        <v>8.7653312164403268</v>
      </c>
      <c r="F131" s="18">
        <v>0.13153052804006471</v>
      </c>
      <c r="G131" s="18">
        <v>0.54883689622828102</v>
      </c>
      <c r="H131" s="18">
        <v>2.4845986809230981E-2</v>
      </c>
      <c r="I131" s="18">
        <v>8.716235219092594</v>
      </c>
      <c r="J131" s="18">
        <v>8.8144272137880595</v>
      </c>
      <c r="K131" s="18">
        <v>0.2409377257672197</v>
      </c>
      <c r="L131" s="18">
        <v>8.2892350953218372</v>
      </c>
      <c r="M131" s="18">
        <v>9.2414273375588163</v>
      </c>
    </row>
    <row r="132" spans="2:13" x14ac:dyDescent="0.15">
      <c r="B132" s="9" t="s">
        <v>251</v>
      </c>
      <c r="C132" s="15">
        <v>1</v>
      </c>
      <c r="D132" s="18">
        <v>10.27900878427122</v>
      </c>
      <c r="E132" s="18">
        <v>9.8130369042442673</v>
      </c>
      <c r="F132" s="18">
        <v>0.46597188002695233</v>
      </c>
      <c r="G132" s="18">
        <v>1.9443589573802158</v>
      </c>
      <c r="H132" s="18">
        <v>4.5397204130973146E-2</v>
      </c>
      <c r="I132" s="18">
        <v>9.7233314306512177</v>
      </c>
      <c r="J132" s="18">
        <v>9.9027423778373169</v>
      </c>
      <c r="K132" s="18">
        <v>0.24391508928367825</v>
      </c>
      <c r="L132" s="18">
        <v>9.3310574735824847</v>
      </c>
      <c r="M132" s="18">
        <v>10.29501633490605</v>
      </c>
    </row>
    <row r="133" spans="2:13" x14ac:dyDescent="0.15">
      <c r="B133" s="9" t="s">
        <v>252</v>
      </c>
      <c r="C133" s="15">
        <v>1</v>
      </c>
      <c r="D133" s="18">
        <v>8.6993480676530925</v>
      </c>
      <c r="E133" s="18">
        <v>8.6705941430615301</v>
      </c>
      <c r="F133" s="18">
        <v>2.8753924591562452E-2</v>
      </c>
      <c r="G133" s="18">
        <v>0.11998138350366966</v>
      </c>
      <c r="H133" s="18">
        <v>3.6979343312887387E-2</v>
      </c>
      <c r="I133" s="18">
        <v>8.5975224733729725</v>
      </c>
      <c r="J133" s="18">
        <v>8.7436658127500877</v>
      </c>
      <c r="K133" s="18">
        <v>0.24248945640833103</v>
      </c>
      <c r="L133" s="18">
        <v>8.1914317817479798</v>
      </c>
      <c r="M133" s="18">
        <v>9.1497565043750804</v>
      </c>
    </row>
    <row r="134" spans="2:13" x14ac:dyDescent="0.15">
      <c r="B134" s="9" t="s">
        <v>253</v>
      </c>
      <c r="C134" s="15">
        <v>1</v>
      </c>
      <c r="D134" s="18">
        <v>8.6714581504276662</v>
      </c>
      <c r="E134" s="18">
        <v>8.7497615392358323</v>
      </c>
      <c r="F134" s="18">
        <v>-7.8303388808166119E-2</v>
      </c>
      <c r="G134" s="18">
        <v>-0.32673623012096187</v>
      </c>
      <c r="H134" s="18">
        <v>3.8645691219837651E-2</v>
      </c>
      <c r="I134" s="18">
        <v>8.6733971441245252</v>
      </c>
      <c r="J134" s="18">
        <v>8.8261259343471394</v>
      </c>
      <c r="K134" s="18">
        <v>0.24274915877756306</v>
      </c>
      <c r="L134" s="18">
        <v>8.2700860026184024</v>
      </c>
      <c r="M134" s="18">
        <v>9.2294370758532622</v>
      </c>
    </row>
    <row r="135" spans="2:13" x14ac:dyDescent="0.15">
      <c r="B135" s="9" t="s">
        <v>254</v>
      </c>
      <c r="C135" s="15">
        <v>1</v>
      </c>
      <c r="D135" s="18">
        <v>8.92052268739398</v>
      </c>
      <c r="E135" s="18">
        <v>8.6563114237442615</v>
      </c>
      <c r="F135" s="18">
        <v>0.26421126364971848</v>
      </c>
      <c r="G135" s="18">
        <v>1.1024732588763977</v>
      </c>
      <c r="H135" s="18">
        <v>4.2350196951504729E-2</v>
      </c>
      <c r="I135" s="18">
        <v>8.5726268764903555</v>
      </c>
      <c r="J135" s="18">
        <v>8.7399959709981676</v>
      </c>
      <c r="K135" s="18">
        <v>0.24336639829521808</v>
      </c>
      <c r="L135" s="18">
        <v>8.1754162137061552</v>
      </c>
      <c r="M135" s="18">
        <v>9.1372066337823679</v>
      </c>
    </row>
    <row r="136" spans="2:13" x14ac:dyDescent="0.15">
      <c r="B136" s="9" t="s">
        <v>255</v>
      </c>
      <c r="C136" s="15">
        <v>1</v>
      </c>
      <c r="D136" s="18">
        <v>8.621733370690162</v>
      </c>
      <c r="E136" s="18">
        <v>8.7637361888031258</v>
      </c>
      <c r="F136" s="18">
        <v>-0.14200281811296378</v>
      </c>
      <c r="G136" s="18">
        <v>-0.59253457817069233</v>
      </c>
      <c r="H136" s="18">
        <v>2.4838472056075461E-2</v>
      </c>
      <c r="I136" s="18">
        <v>8.7146550407066563</v>
      </c>
      <c r="J136" s="18">
        <v>8.8128173368995952</v>
      </c>
      <c r="K136" s="18">
        <v>0.24093695094658255</v>
      </c>
      <c r="L136" s="18">
        <v>8.2876415987404251</v>
      </c>
      <c r="M136" s="18">
        <v>9.2398307788658265</v>
      </c>
    </row>
    <row r="137" spans="2:13" x14ac:dyDescent="0.15">
      <c r="B137" s="9" t="s">
        <v>256</v>
      </c>
      <c r="C137" s="15">
        <v>1</v>
      </c>
      <c r="D137" s="18">
        <v>8.3645081037505893</v>
      </c>
      <c r="E137" s="18">
        <v>8.6355987839622053</v>
      </c>
      <c r="F137" s="18">
        <v>-0.27109068021161598</v>
      </c>
      <c r="G137" s="18">
        <v>-1.1311789722188026</v>
      </c>
      <c r="H137" s="18">
        <v>6.3177245519257436E-2</v>
      </c>
      <c r="I137" s="18">
        <v>8.5107597142860474</v>
      </c>
      <c r="J137" s="18">
        <v>8.7604378536383631</v>
      </c>
      <c r="K137" s="18">
        <v>0.24784073311051194</v>
      </c>
      <c r="L137" s="18">
        <v>8.145862229367685</v>
      </c>
      <c r="M137" s="18">
        <v>9.1253353385567255</v>
      </c>
    </row>
    <row r="138" spans="2:13" x14ac:dyDescent="0.15">
      <c r="B138" s="9" t="s">
        <v>257</v>
      </c>
      <c r="C138" s="15">
        <v>1</v>
      </c>
      <c r="D138" s="18">
        <v>8.8661584922849173</v>
      </c>
      <c r="E138" s="18">
        <v>8.6439145303281038</v>
      </c>
      <c r="F138" s="18">
        <v>0.22224396195681351</v>
      </c>
      <c r="G138" s="18">
        <v>0.92735647080120764</v>
      </c>
      <c r="H138" s="18">
        <v>4.4288040393268828E-2</v>
      </c>
      <c r="I138" s="18">
        <v>8.5564007788969736</v>
      </c>
      <c r="J138" s="18">
        <v>8.7314282817592339</v>
      </c>
      <c r="K138" s="18">
        <v>0.24371108952862874</v>
      </c>
      <c r="L138" s="18">
        <v>8.1623382058705438</v>
      </c>
      <c r="M138" s="18">
        <v>9.1254908547856637</v>
      </c>
    </row>
    <row r="139" spans="2:13" x14ac:dyDescent="0.15">
      <c r="B139" s="9" t="s">
        <v>258</v>
      </c>
      <c r="C139" s="15">
        <v>1</v>
      </c>
      <c r="D139" s="18">
        <v>9.4763135012657482</v>
      </c>
      <c r="E139" s="18">
        <v>8.7033838472960063</v>
      </c>
      <c r="F139" s="18">
        <v>0.77292965396974189</v>
      </c>
      <c r="G139" s="18">
        <v>3.2252004048697778</v>
      </c>
      <c r="H139" s="18">
        <v>3.8665064058216056E-2</v>
      </c>
      <c r="I139" s="18">
        <v>8.6269811712007751</v>
      </c>
      <c r="J139" s="18">
        <v>8.7797865233912376</v>
      </c>
      <c r="K139" s="18">
        <v>0.24275224368887188</v>
      </c>
      <c r="L139" s="18">
        <v>8.2237022148531782</v>
      </c>
      <c r="M139" s="18">
        <v>9.1830654797388345</v>
      </c>
    </row>
    <row r="140" spans="2:13" x14ac:dyDescent="0.15">
      <c r="B140" s="9" t="s">
        <v>259</v>
      </c>
      <c r="C140" s="15">
        <v>1</v>
      </c>
      <c r="D140" s="18">
        <v>8.742733867330168</v>
      </c>
      <c r="E140" s="18">
        <v>8.7029798713487025</v>
      </c>
      <c r="F140" s="18">
        <v>3.9753995981465451E-2</v>
      </c>
      <c r="G140" s="18">
        <v>0.16588133638825708</v>
      </c>
      <c r="H140" s="18">
        <v>3.9390520999675452E-2</v>
      </c>
      <c r="I140" s="18">
        <v>8.6251436827773009</v>
      </c>
      <c r="J140" s="18">
        <v>8.7808160599201042</v>
      </c>
      <c r="K140" s="18">
        <v>0.24286884893287849</v>
      </c>
      <c r="L140" s="18">
        <v>8.2230678254071297</v>
      </c>
      <c r="M140" s="18">
        <v>9.1828919172902754</v>
      </c>
    </row>
    <row r="141" spans="2:13" x14ac:dyDescent="0.15">
      <c r="B141" s="9" t="s">
        <v>260</v>
      </c>
      <c r="C141" s="15">
        <v>1</v>
      </c>
      <c r="D141" s="18">
        <v>8.765146421639022</v>
      </c>
      <c r="E141" s="18">
        <v>8.7162971189236096</v>
      </c>
      <c r="F141" s="18">
        <v>4.8849302715412435E-2</v>
      </c>
      <c r="G141" s="18">
        <v>0.20383328558580849</v>
      </c>
      <c r="H141" s="18">
        <v>3.5535433131419082E-2</v>
      </c>
      <c r="I141" s="18">
        <v>8.6460786347810323</v>
      </c>
      <c r="J141" s="18">
        <v>8.7865156030661868</v>
      </c>
      <c r="K141" s="18">
        <v>0.24227346459155003</v>
      </c>
      <c r="L141" s="18">
        <v>8.2375615602862915</v>
      </c>
      <c r="M141" s="18">
        <v>9.1950326775609277</v>
      </c>
    </row>
    <row r="142" spans="2:13" x14ac:dyDescent="0.15">
      <c r="B142" s="9" t="s">
        <v>261</v>
      </c>
      <c r="C142" s="15">
        <v>1</v>
      </c>
      <c r="D142" s="18">
        <v>8.8787760717075521</v>
      </c>
      <c r="E142" s="18">
        <v>8.7714777176220302</v>
      </c>
      <c r="F142" s="18">
        <v>0.10729835408552191</v>
      </c>
      <c r="G142" s="18">
        <v>0.44772340310808323</v>
      </c>
      <c r="H142" s="18">
        <v>3.4335903235365874E-2</v>
      </c>
      <c r="I142" s="18">
        <v>8.7036295203610869</v>
      </c>
      <c r="J142" s="18">
        <v>8.8393259148829735</v>
      </c>
      <c r="K142" s="18">
        <v>0.24210043140883472</v>
      </c>
      <c r="L142" s="18">
        <v>8.2930840748339349</v>
      </c>
      <c r="M142" s="18">
        <v>9.2498713604101255</v>
      </c>
    </row>
    <row r="143" spans="2:13" x14ac:dyDescent="0.15">
      <c r="B143" s="9" t="s">
        <v>262</v>
      </c>
      <c r="C143" s="15">
        <v>1</v>
      </c>
      <c r="D143" s="18">
        <v>9.0254555327790627</v>
      </c>
      <c r="E143" s="18">
        <v>8.9179999582910838</v>
      </c>
      <c r="F143" s="18">
        <v>0.10745557448797882</v>
      </c>
      <c r="G143" s="18">
        <v>0.44837943603818697</v>
      </c>
      <c r="H143" s="18">
        <v>3.5395858756762218E-2</v>
      </c>
      <c r="I143" s="18">
        <v>8.8480572749520956</v>
      </c>
      <c r="J143" s="18">
        <v>8.9879426416300721</v>
      </c>
      <c r="K143" s="18">
        <v>0.24225303187882735</v>
      </c>
      <c r="L143" s="18">
        <v>8.4393047749633627</v>
      </c>
      <c r="M143" s="18">
        <v>9.3966951416188049</v>
      </c>
    </row>
    <row r="144" spans="2:13" x14ac:dyDescent="0.15">
      <c r="B144" s="9" t="s">
        <v>263</v>
      </c>
      <c r="C144" s="15">
        <v>1</v>
      </c>
      <c r="D144" s="18">
        <v>8.9888205017780702</v>
      </c>
      <c r="E144" s="18">
        <v>8.7304036592633203</v>
      </c>
      <c r="F144" s="18">
        <v>0.25841684251474994</v>
      </c>
      <c r="G144" s="18">
        <v>1.0782949015129497</v>
      </c>
      <c r="H144" s="18">
        <v>4.2028882975035736E-2</v>
      </c>
      <c r="I144" s="18">
        <v>8.6473540326610934</v>
      </c>
      <c r="J144" s="18">
        <v>8.8134532858655472</v>
      </c>
      <c r="K144" s="18">
        <v>0.24331068953394697</v>
      </c>
      <c r="L144" s="18">
        <v>8.249618530471599</v>
      </c>
      <c r="M144" s="18">
        <v>9.2111887880550416</v>
      </c>
    </row>
    <row r="145" spans="2:13" x14ac:dyDescent="0.15">
      <c r="B145" s="9" t="s">
        <v>264</v>
      </c>
      <c r="C145" s="15">
        <v>1</v>
      </c>
      <c r="D145" s="18">
        <v>8.8249719655671406</v>
      </c>
      <c r="E145" s="18">
        <v>8.7490133823212552</v>
      </c>
      <c r="F145" s="18">
        <v>7.5958583245885336E-2</v>
      </c>
      <c r="G145" s="18">
        <v>0.31695206954442257</v>
      </c>
      <c r="H145" s="18">
        <v>4.4671477850924936E-2</v>
      </c>
      <c r="I145" s="18">
        <v>8.6607419534209775</v>
      </c>
      <c r="J145" s="18">
        <v>8.837284811221533</v>
      </c>
      <c r="K145" s="18">
        <v>0.24378106073019939</v>
      </c>
      <c r="L145" s="18">
        <v>8.267298793847333</v>
      </c>
      <c r="M145" s="18">
        <v>9.2307279707951775</v>
      </c>
    </row>
    <row r="146" spans="2:13" x14ac:dyDescent="0.15">
      <c r="B146" s="9" t="s">
        <v>265</v>
      </c>
      <c r="C146" s="15">
        <v>1</v>
      </c>
      <c r="D146" s="18">
        <v>8.8434707816273814</v>
      </c>
      <c r="E146" s="18">
        <v>8.9077588140781003</v>
      </c>
      <c r="F146" s="18">
        <v>-6.4288032450718902E-2</v>
      </c>
      <c r="G146" s="18">
        <v>-0.26825440998859246</v>
      </c>
      <c r="H146" s="18">
        <v>5.2240492575690689E-2</v>
      </c>
      <c r="I146" s="18">
        <v>8.8045309123395619</v>
      </c>
      <c r="J146" s="18">
        <v>9.0109867158166388</v>
      </c>
      <c r="K146" s="18">
        <v>0.24528092812509145</v>
      </c>
      <c r="L146" s="18">
        <v>8.4230804678670843</v>
      </c>
      <c r="M146" s="18">
        <v>9.3924371602891163</v>
      </c>
    </row>
    <row r="147" spans="2:13" x14ac:dyDescent="0.15">
      <c r="B147" s="9" t="s">
        <v>266</v>
      </c>
      <c r="C147" s="15">
        <v>1</v>
      </c>
      <c r="D147" s="18">
        <v>9.0167556229035171</v>
      </c>
      <c r="E147" s="18">
        <v>8.8912001297069345</v>
      </c>
      <c r="F147" s="18">
        <v>0.12555549319658255</v>
      </c>
      <c r="G147" s="18">
        <v>0.52390489278225449</v>
      </c>
      <c r="H147" s="18">
        <v>4.9962170863499203E-2</v>
      </c>
      <c r="I147" s="18">
        <v>8.7924742216947021</v>
      </c>
      <c r="J147" s="18">
        <v>8.989926037719167</v>
      </c>
      <c r="K147" s="18">
        <v>0.24480580702824223</v>
      </c>
      <c r="L147" s="18">
        <v>8.4074606290442908</v>
      </c>
      <c r="M147" s="18">
        <v>9.3749396303695782</v>
      </c>
    </row>
    <row r="148" spans="2:13" x14ac:dyDescent="0.15">
      <c r="B148" s="9" t="s">
        <v>267</v>
      </c>
      <c r="C148" s="15">
        <v>1</v>
      </c>
      <c r="D148" s="18">
        <v>8.7409765380177866</v>
      </c>
      <c r="E148" s="18">
        <v>8.7311892464014775</v>
      </c>
      <c r="F148" s="18">
        <v>9.7872916163090906E-3</v>
      </c>
      <c r="G148" s="18">
        <v>4.0839391685099438E-2</v>
      </c>
      <c r="H148" s="18">
        <v>4.9016246459153895E-2</v>
      </c>
      <c r="I148" s="18">
        <v>8.6343324974773292</v>
      </c>
      <c r="J148" s="18">
        <v>8.8280459953256258</v>
      </c>
      <c r="K148" s="18">
        <v>0.24461450703975018</v>
      </c>
      <c r="L148" s="18">
        <v>8.2478277570369869</v>
      </c>
      <c r="M148" s="18">
        <v>9.2145507357659682</v>
      </c>
    </row>
    <row r="149" spans="2:13" x14ac:dyDescent="0.15">
      <c r="B149" s="9" t="s">
        <v>268</v>
      </c>
      <c r="C149" s="15">
        <v>1</v>
      </c>
      <c r="D149" s="18">
        <v>8.8879288190033048</v>
      </c>
      <c r="E149" s="18">
        <v>8.8731863866707741</v>
      </c>
      <c r="F149" s="18">
        <v>1.4742432332530697E-2</v>
      </c>
      <c r="G149" s="18">
        <v>6.1515687078949437E-2</v>
      </c>
      <c r="H149" s="18">
        <v>3.4858935985565456E-2</v>
      </c>
      <c r="I149" s="18">
        <v>8.8043046698030736</v>
      </c>
      <c r="J149" s="18">
        <v>8.9420681035384746</v>
      </c>
      <c r="K149" s="18">
        <v>0.24217516399375316</v>
      </c>
      <c r="L149" s="18">
        <v>8.3946450713100784</v>
      </c>
      <c r="M149" s="18">
        <v>9.3517277020314697</v>
      </c>
    </row>
    <row r="150" spans="2:13" x14ac:dyDescent="0.15">
      <c r="B150" s="9" t="s">
        <v>269</v>
      </c>
      <c r="C150" s="15">
        <v>1</v>
      </c>
      <c r="D150" s="18">
        <v>8.9298325032724026</v>
      </c>
      <c r="E150" s="18">
        <v>8.7416824077735313</v>
      </c>
      <c r="F150" s="18">
        <v>0.18815009549887129</v>
      </c>
      <c r="G150" s="18">
        <v>0.78509313371874134</v>
      </c>
      <c r="H150" s="18">
        <v>4.0840190123422965E-2</v>
      </c>
      <c r="I150" s="18">
        <v>8.6609816539103157</v>
      </c>
      <c r="J150" s="18">
        <v>8.822383161636747</v>
      </c>
      <c r="K150" s="18">
        <v>0.24310817708722349</v>
      </c>
      <c r="L150" s="18">
        <v>8.2612974462451803</v>
      </c>
      <c r="M150" s="18">
        <v>9.2220673693018824</v>
      </c>
    </row>
    <row r="151" spans="2:13" x14ac:dyDescent="0.15">
      <c r="B151" s="9" t="s">
        <v>270</v>
      </c>
      <c r="C151" s="15">
        <v>1</v>
      </c>
      <c r="D151" s="18">
        <v>8.8443363327489326</v>
      </c>
      <c r="E151" s="18">
        <v>8.7133340535220967</v>
      </c>
      <c r="F151" s="18">
        <v>0.13100227922683594</v>
      </c>
      <c r="G151" s="18">
        <v>0.5466326745665202</v>
      </c>
      <c r="H151" s="18">
        <v>7.8504936480493365E-2</v>
      </c>
      <c r="I151" s="18">
        <v>8.5582072645229896</v>
      </c>
      <c r="J151" s="18">
        <v>8.8684608425212037</v>
      </c>
      <c r="K151" s="18">
        <v>0.25218384105481817</v>
      </c>
      <c r="L151" s="18">
        <v>8.2150154603975007</v>
      </c>
      <c r="M151" s="18">
        <v>9.2116526466466926</v>
      </c>
    </row>
    <row r="152" spans="2:13" x14ac:dyDescent="0.15">
      <c r="B152" s="9" t="s">
        <v>271</v>
      </c>
      <c r="C152" s="15">
        <v>1</v>
      </c>
      <c r="D152" s="18">
        <v>8.7122664321353547</v>
      </c>
      <c r="E152" s="18">
        <v>8.6017451580362057</v>
      </c>
      <c r="F152" s="18">
        <v>0.11052127409914903</v>
      </c>
      <c r="G152" s="18">
        <v>0.46117166826316813</v>
      </c>
      <c r="H152" s="18">
        <v>9.2158828276700397E-2</v>
      </c>
      <c r="I152" s="18">
        <v>8.41963809892105</v>
      </c>
      <c r="J152" s="18">
        <v>8.7838522171513613</v>
      </c>
      <c r="K152" s="18">
        <v>0.25676236925743195</v>
      </c>
      <c r="L152" s="18">
        <v>8.0943793328488223</v>
      </c>
      <c r="M152" s="18">
        <v>9.109110983223589</v>
      </c>
    </row>
    <row r="153" spans="2:13" x14ac:dyDescent="0.15">
      <c r="B153" s="9" t="s">
        <v>272</v>
      </c>
      <c r="C153" s="15">
        <v>1</v>
      </c>
      <c r="D153" s="18">
        <v>8.7356859445150192</v>
      </c>
      <c r="E153" s="18">
        <v>8.8317240980748828</v>
      </c>
      <c r="F153" s="18">
        <v>-9.6038153559863559E-2</v>
      </c>
      <c r="G153" s="18">
        <v>-0.40073801044298324</v>
      </c>
      <c r="H153" s="18">
        <v>6.0304376694809536E-2</v>
      </c>
      <c r="I153" s="18">
        <v>8.7125618550536057</v>
      </c>
      <c r="J153" s="18">
        <v>8.9508863410961599</v>
      </c>
      <c r="K153" s="18">
        <v>0.24712402247840046</v>
      </c>
      <c r="L153" s="18">
        <v>8.3434037731340052</v>
      </c>
      <c r="M153" s="18">
        <v>9.3200444230157604</v>
      </c>
    </row>
    <row r="154" spans="2:13" x14ac:dyDescent="0.15">
      <c r="B154" s="9" t="s">
        <v>273</v>
      </c>
      <c r="C154" s="15">
        <v>1</v>
      </c>
      <c r="D154" s="18">
        <v>8.7031747090416793</v>
      </c>
      <c r="E154" s="18">
        <v>8.9223883682135821</v>
      </c>
      <c r="F154" s="18">
        <v>-0.21921365917190272</v>
      </c>
      <c r="G154" s="18">
        <v>-0.91471193876834178</v>
      </c>
      <c r="H154" s="18">
        <v>3.6254946036139213E-2</v>
      </c>
      <c r="I154" s="18">
        <v>8.8507481170897613</v>
      </c>
      <c r="J154" s="18">
        <v>8.9940286193374028</v>
      </c>
      <c r="K154" s="18">
        <v>0.24238004404125116</v>
      </c>
      <c r="L154" s="18">
        <v>8.4434422071791833</v>
      </c>
      <c r="M154" s="18">
        <v>9.4013345292479809</v>
      </c>
    </row>
    <row r="155" spans="2:13" x14ac:dyDescent="0.15">
      <c r="B155" s="9" t="s">
        <v>274</v>
      </c>
      <c r="C155" s="15">
        <v>1</v>
      </c>
      <c r="D155" s="18">
        <v>8.9874467894171808</v>
      </c>
      <c r="E155" s="18">
        <v>8.9724175849788637</v>
      </c>
      <c r="F155" s="18">
        <v>1.5029204438317123E-2</v>
      </c>
      <c r="G155" s="18">
        <v>6.2712299871507587E-2</v>
      </c>
      <c r="H155" s="18">
        <v>3.3251870813730634E-2</v>
      </c>
      <c r="I155" s="18">
        <v>8.9067114500681139</v>
      </c>
      <c r="J155" s="18">
        <v>9.0381237198896134</v>
      </c>
      <c r="K155" s="18">
        <v>0.24194906809072134</v>
      </c>
      <c r="L155" s="18">
        <v>8.4943230381019799</v>
      </c>
      <c r="M155" s="18">
        <v>9.4505121318557475</v>
      </c>
    </row>
    <row r="156" spans="2:13" x14ac:dyDescent="0.15">
      <c r="B156" s="9" t="s">
        <v>275</v>
      </c>
      <c r="C156" s="15">
        <v>1</v>
      </c>
      <c r="D156" s="18">
        <v>9.6306284089759853</v>
      </c>
      <c r="E156" s="18">
        <v>8.9427693317385497</v>
      </c>
      <c r="F156" s="18">
        <v>0.68785907723743556</v>
      </c>
      <c r="G156" s="18">
        <v>2.8702267573840254</v>
      </c>
      <c r="H156" s="18">
        <v>3.6934815474561525E-2</v>
      </c>
      <c r="I156" s="18">
        <v>8.8697856496452978</v>
      </c>
      <c r="J156" s="18">
        <v>9.0157530138318016</v>
      </c>
      <c r="K156" s="18">
        <v>0.24248266996116524</v>
      </c>
      <c r="L156" s="18">
        <v>8.4636203805340298</v>
      </c>
      <c r="M156" s="18">
        <v>9.4219182829430697</v>
      </c>
    </row>
    <row r="157" spans="2:13" x14ac:dyDescent="0.15">
      <c r="B157" s="9" t="s">
        <v>276</v>
      </c>
      <c r="C157" s="15">
        <v>1</v>
      </c>
      <c r="D157" s="18">
        <v>8.8208470333777171</v>
      </c>
      <c r="E157" s="18">
        <v>8.8116074667196074</v>
      </c>
      <c r="F157" s="18">
        <v>9.2395666581097657E-3</v>
      </c>
      <c r="G157" s="18">
        <v>3.8553901992901783E-2</v>
      </c>
      <c r="H157" s="18">
        <v>3.4931725255973413E-2</v>
      </c>
      <c r="I157" s="18">
        <v>8.7425819172943857</v>
      </c>
      <c r="J157" s="18">
        <v>8.880633016144829</v>
      </c>
      <c r="K157" s="18">
        <v>0.24218565206616657</v>
      </c>
      <c r="L157" s="18">
        <v>8.3330454267896137</v>
      </c>
      <c r="M157" s="18">
        <v>9.2901695066496011</v>
      </c>
    </row>
    <row r="158" spans="2:13" x14ac:dyDescent="0.15">
      <c r="B158" s="9" t="s">
        <v>277</v>
      </c>
      <c r="C158" s="15">
        <v>1</v>
      </c>
      <c r="D158" s="18">
        <v>8.742733867330168</v>
      </c>
      <c r="E158" s="18">
        <v>8.8756325984303501</v>
      </c>
      <c r="F158" s="18">
        <v>-0.13289873110018213</v>
      </c>
      <c r="G158" s="18">
        <v>-0.55454599153956985</v>
      </c>
      <c r="H158" s="18">
        <v>6.2819403920939737E-2</v>
      </c>
      <c r="I158" s="18">
        <v>8.7515006284679941</v>
      </c>
      <c r="J158" s="18">
        <v>8.9997645683927061</v>
      </c>
      <c r="K158" s="18">
        <v>0.24774975710651598</v>
      </c>
      <c r="L158" s="18">
        <v>8.3860758136185787</v>
      </c>
      <c r="M158" s="18">
        <v>9.3651893832421216</v>
      </c>
    </row>
    <row r="159" spans="2:13" x14ac:dyDescent="0.15">
      <c r="B159" s="9" t="s">
        <v>278</v>
      </c>
      <c r="C159" s="15">
        <v>1</v>
      </c>
      <c r="D159" s="18">
        <v>8.5515946181335707</v>
      </c>
      <c r="E159" s="18">
        <v>8.702665802646262</v>
      </c>
      <c r="F159" s="18">
        <v>-0.1510711845126913</v>
      </c>
      <c r="G159" s="18">
        <v>-0.63037411354586592</v>
      </c>
      <c r="H159" s="18">
        <v>5.2399033541373416E-2</v>
      </c>
      <c r="I159" s="18">
        <v>8.599124621870331</v>
      </c>
      <c r="J159" s="18">
        <v>8.806206983422193</v>
      </c>
      <c r="K159" s="18">
        <v>0.24531474344895265</v>
      </c>
      <c r="L159" s="18">
        <v>8.2179206369096889</v>
      </c>
      <c r="M159" s="18">
        <v>9.1874109683828351</v>
      </c>
    </row>
    <row r="160" spans="2:13" x14ac:dyDescent="0.15">
      <c r="B160" s="9" t="s">
        <v>279</v>
      </c>
      <c r="C160" s="15">
        <v>1</v>
      </c>
      <c r="D160" s="18">
        <v>10.131817630537638</v>
      </c>
      <c r="E160" s="18">
        <v>10.227721338078972</v>
      </c>
      <c r="F160" s="18">
        <v>-9.5903707541333816E-2</v>
      </c>
      <c r="G160" s="18">
        <v>-0.40017700809151668</v>
      </c>
      <c r="H160" s="18">
        <v>6.4230814642144599E-2</v>
      </c>
      <c r="I160" s="18">
        <v>10.100800401932382</v>
      </c>
      <c r="J160" s="18">
        <v>10.354642274225561</v>
      </c>
      <c r="K160" s="18">
        <v>0.24811139068359805</v>
      </c>
      <c r="L160" s="18">
        <v>9.7374499605533913</v>
      </c>
      <c r="M160" s="18">
        <v>10.717992715604552</v>
      </c>
    </row>
    <row r="161" spans="2:13" x14ac:dyDescent="0.15">
      <c r="B161" s="9" t="s">
        <v>280</v>
      </c>
      <c r="C161" s="15">
        <v>1</v>
      </c>
      <c r="D161" s="18">
        <v>8.8318579351979061</v>
      </c>
      <c r="E161" s="18">
        <v>8.9036464096502499</v>
      </c>
      <c r="F161" s="18">
        <v>-7.178847445234382E-2</v>
      </c>
      <c r="G161" s="18">
        <v>-0.29955147364257662</v>
      </c>
      <c r="H161" s="18">
        <v>6.5915323052465211E-2</v>
      </c>
      <c r="I161" s="18">
        <v>8.7733968626869387</v>
      </c>
      <c r="J161" s="18">
        <v>9.033895956613561</v>
      </c>
      <c r="K161" s="18">
        <v>0.24855280012598197</v>
      </c>
      <c r="L161" s="18">
        <v>8.4125028012497634</v>
      </c>
      <c r="M161" s="18">
        <v>9.3947900180507364</v>
      </c>
    </row>
    <row r="162" spans="2:13" x14ac:dyDescent="0.15">
      <c r="B162" s="9" t="s">
        <v>281</v>
      </c>
      <c r="C162" s="15">
        <v>1</v>
      </c>
      <c r="D162" s="18">
        <v>9.0556728919640435</v>
      </c>
      <c r="E162" s="18">
        <v>8.7115038837314991</v>
      </c>
      <c r="F162" s="18">
        <v>0.34416900823254437</v>
      </c>
      <c r="G162" s="18">
        <v>1.4361126125698964</v>
      </c>
      <c r="H162" s="18">
        <v>5.9455549875040904E-2</v>
      </c>
      <c r="I162" s="18">
        <v>8.594018933691661</v>
      </c>
      <c r="J162" s="18">
        <v>8.8289888337713371</v>
      </c>
      <c r="K162" s="18">
        <v>0.24691825985191732</v>
      </c>
      <c r="L162" s="18">
        <v>8.2235901484520273</v>
      </c>
      <c r="M162" s="18">
        <v>9.1994176190109709</v>
      </c>
    </row>
    <row r="163" spans="2:13" x14ac:dyDescent="0.15">
      <c r="B163" s="9" t="s">
        <v>282</v>
      </c>
      <c r="C163" s="15">
        <v>1</v>
      </c>
      <c r="D163" s="18">
        <v>8.9356403337475712</v>
      </c>
      <c r="E163" s="18">
        <v>8.9847520447966183</v>
      </c>
      <c r="F163" s="18">
        <v>-4.9111711049047102E-2</v>
      </c>
      <c r="G163" s="18">
        <v>-0.20492823576598732</v>
      </c>
      <c r="H163" s="18">
        <v>3.5149537354678073E-2</v>
      </c>
      <c r="I163" s="18">
        <v>8.9152960957940959</v>
      </c>
      <c r="J163" s="18">
        <v>9.0542079937991407</v>
      </c>
      <c r="K163" s="18">
        <v>0.24221716415977501</v>
      </c>
      <c r="L163" s="18">
        <v>8.5061277365543972</v>
      </c>
      <c r="M163" s="18">
        <v>9.4633763530388393</v>
      </c>
    </row>
    <row r="164" spans="2:13" x14ac:dyDescent="0.15">
      <c r="B164" s="9" t="s">
        <v>283</v>
      </c>
      <c r="C164" s="15">
        <v>1</v>
      </c>
      <c r="D164" s="18">
        <v>9.5315539276367556</v>
      </c>
      <c r="E164" s="18">
        <v>9.875362063398887</v>
      </c>
      <c r="F164" s="18">
        <v>-0.34380813576213143</v>
      </c>
      <c r="G164" s="18">
        <v>-1.4346068014890245</v>
      </c>
      <c r="H164" s="18">
        <v>9.4641294208009194E-2</v>
      </c>
      <c r="I164" s="18">
        <v>9.6883496188903013</v>
      </c>
      <c r="J164" s="18">
        <v>10.062374507907473</v>
      </c>
      <c r="K164" s="18">
        <v>0.25766381043274672</v>
      </c>
      <c r="L164" s="18">
        <v>9.36621497857017</v>
      </c>
      <c r="M164" s="18">
        <v>10.384509148227604</v>
      </c>
    </row>
    <row r="165" spans="2:13" x14ac:dyDescent="0.15">
      <c r="B165" s="9" t="s">
        <v>284</v>
      </c>
      <c r="C165" s="15">
        <v>1</v>
      </c>
      <c r="D165" s="18">
        <v>8.8255598550608507</v>
      </c>
      <c r="E165" s="18">
        <v>8.9830628576749021</v>
      </c>
      <c r="F165" s="18">
        <v>-0.15750300261405137</v>
      </c>
      <c r="G165" s="18">
        <v>-0.65721213462322425</v>
      </c>
      <c r="H165" s="18">
        <v>4.5935440596473219E-2</v>
      </c>
      <c r="I165" s="18">
        <v>8.892293821733313</v>
      </c>
      <c r="J165" s="18">
        <v>9.0738318936164912</v>
      </c>
      <c r="K165" s="18">
        <v>0.24401583829773754</v>
      </c>
      <c r="L165" s="18">
        <v>8.5008843456336987</v>
      </c>
      <c r="M165" s="18">
        <v>9.4652413697161055</v>
      </c>
    </row>
    <row r="166" spans="2:13" x14ac:dyDescent="0.15">
      <c r="B166" s="9" t="s">
        <v>285</v>
      </c>
      <c r="C166" s="15">
        <v>1</v>
      </c>
      <c r="D166" s="18">
        <v>8.8296654326752364</v>
      </c>
      <c r="E166" s="18">
        <v>8.8719905127908127</v>
      </c>
      <c r="F166" s="18">
        <v>-4.2325080115576341E-2</v>
      </c>
      <c r="G166" s="18">
        <v>-0.17660968863570925</v>
      </c>
      <c r="H166" s="18">
        <v>5.3662833658516054E-2</v>
      </c>
      <c r="I166" s="18">
        <v>8.765952046329442</v>
      </c>
      <c r="J166" s="18">
        <v>8.9780289792521835</v>
      </c>
      <c r="K166" s="18">
        <v>0.24558779357618132</v>
      </c>
      <c r="L166" s="18">
        <v>8.3867057964046658</v>
      </c>
      <c r="M166" s="18">
        <v>9.3572752291769596</v>
      </c>
    </row>
    <row r="167" spans="2:13" x14ac:dyDescent="0.15">
      <c r="B167" s="9" t="s">
        <v>286</v>
      </c>
      <c r="C167" s="15">
        <v>1</v>
      </c>
      <c r="D167" s="18">
        <v>8.8388418134312907</v>
      </c>
      <c r="E167" s="18">
        <v>8.8053905043629115</v>
      </c>
      <c r="F167" s="18">
        <v>3.3451309068379231E-2</v>
      </c>
      <c r="G167" s="18">
        <v>0.13958214049190079</v>
      </c>
      <c r="H167" s="18">
        <v>4.2039361059357232E-2</v>
      </c>
      <c r="I167" s="18">
        <v>8.7223201729279882</v>
      </c>
      <c r="J167" s="18">
        <v>8.8884608357978347</v>
      </c>
      <c r="K167" s="18">
        <v>0.24331249971103927</v>
      </c>
      <c r="L167" s="18">
        <v>8.324601798637401</v>
      </c>
      <c r="M167" s="18">
        <v>9.286179210088422</v>
      </c>
    </row>
    <row r="168" spans="2:13" x14ac:dyDescent="0.15">
      <c r="B168" s="9" t="s">
        <v>287</v>
      </c>
      <c r="C168" s="15">
        <v>1</v>
      </c>
      <c r="D168" s="18">
        <v>8.784468454090355</v>
      </c>
      <c r="E168" s="18">
        <v>8.9507999301764301</v>
      </c>
      <c r="F168" s="18">
        <v>-0.16633147608607501</v>
      </c>
      <c r="G168" s="18">
        <v>-0.69405066976043017</v>
      </c>
      <c r="H168" s="18">
        <v>3.2956422310473563E-2</v>
      </c>
      <c r="I168" s="18">
        <v>8.8856776054014439</v>
      </c>
      <c r="J168" s="18">
        <v>9.0159222549514162</v>
      </c>
      <c r="K168" s="18">
        <v>0.24190864062464112</v>
      </c>
      <c r="L168" s="18">
        <v>8.4727852685052607</v>
      </c>
      <c r="M168" s="18">
        <v>9.4288145918475994</v>
      </c>
    </row>
    <row r="169" spans="2:13" x14ac:dyDescent="0.15">
      <c r="B169" s="9" t="s">
        <v>288</v>
      </c>
      <c r="C169" s="15">
        <v>1</v>
      </c>
      <c r="D169" s="18">
        <v>8.7093000489449892</v>
      </c>
      <c r="E169" s="18">
        <v>8.7612940709837623</v>
      </c>
      <c r="F169" s="18">
        <v>-5.1994022038773124E-2</v>
      </c>
      <c r="G169" s="18">
        <v>-0.21695524304055736</v>
      </c>
      <c r="H169" s="18">
        <v>4.605862236686175E-2</v>
      </c>
      <c r="I169" s="18">
        <v>8.6702816262406337</v>
      </c>
      <c r="J169" s="18">
        <v>8.852306515726891</v>
      </c>
      <c r="K169" s="18">
        <v>0.244039056980002</v>
      </c>
      <c r="L169" s="18">
        <v>8.2790696785204361</v>
      </c>
      <c r="M169" s="18">
        <v>9.2435184634470886</v>
      </c>
    </row>
    <row r="170" spans="2:13" x14ac:dyDescent="0.15">
      <c r="B170" s="9" t="s">
        <v>289</v>
      </c>
      <c r="C170" s="15">
        <v>1</v>
      </c>
      <c r="D170" s="18">
        <v>8.793156870913819</v>
      </c>
      <c r="E170" s="18">
        <v>8.6621297847986582</v>
      </c>
      <c r="F170" s="18">
        <v>0.13102708611516078</v>
      </c>
      <c r="G170" s="18">
        <v>0.54673618616794206</v>
      </c>
      <c r="H170" s="18">
        <v>4.831738186860253E-2</v>
      </c>
      <c r="I170" s="18">
        <v>8.5666540015148591</v>
      </c>
      <c r="J170" s="18">
        <v>8.7576055680824574</v>
      </c>
      <c r="K170" s="18">
        <v>0.24447542622519722</v>
      </c>
      <c r="L170" s="18">
        <v>8.1790431209564876</v>
      </c>
      <c r="M170" s="18">
        <v>9.1452164486408289</v>
      </c>
    </row>
    <row r="171" spans="2:13" x14ac:dyDescent="0.15">
      <c r="B171" s="9" t="s">
        <v>290</v>
      </c>
      <c r="C171" s="15">
        <v>1</v>
      </c>
      <c r="D171" s="18">
        <v>8.7704390865468902</v>
      </c>
      <c r="E171" s="18">
        <v>8.9512771164266738</v>
      </c>
      <c r="F171" s="18">
        <v>-0.18083802987978359</v>
      </c>
      <c r="G171" s="18">
        <v>-0.75458210742547505</v>
      </c>
      <c r="H171" s="18">
        <v>3.7917655147062787E-2</v>
      </c>
      <c r="I171" s="18">
        <v>8.8763513301890029</v>
      </c>
      <c r="J171" s="18">
        <v>9.0262029026643447</v>
      </c>
      <c r="K171" s="18">
        <v>0.24263431993270668</v>
      </c>
      <c r="L171" s="18">
        <v>8.4718285028799905</v>
      </c>
      <c r="M171" s="18">
        <v>9.4307257299733571</v>
      </c>
    </row>
    <row r="172" spans="2:13" x14ac:dyDescent="0.15">
      <c r="B172" s="9" t="s">
        <v>291</v>
      </c>
      <c r="C172" s="15">
        <v>1</v>
      </c>
      <c r="D172" s="18">
        <v>8.546169299652755</v>
      </c>
      <c r="E172" s="18">
        <v>8.9957940536194592</v>
      </c>
      <c r="F172" s="18">
        <v>-0.4496247539667042</v>
      </c>
      <c r="G172" s="18">
        <v>-1.8761473713488257</v>
      </c>
      <c r="H172" s="18">
        <v>3.6918391135165929E-2</v>
      </c>
      <c r="I172" s="18">
        <v>8.9228428262372876</v>
      </c>
      <c r="J172" s="18">
        <v>9.0687452810016307</v>
      </c>
      <c r="K172" s="18">
        <v>0.24248016875894116</v>
      </c>
      <c r="L172" s="18">
        <v>8.5166500448234927</v>
      </c>
      <c r="M172" s="18">
        <v>9.4749380624154256</v>
      </c>
    </row>
    <row r="173" spans="2:13" x14ac:dyDescent="0.15">
      <c r="B173" s="9" t="s">
        <v>292</v>
      </c>
      <c r="C173" s="15">
        <v>1</v>
      </c>
      <c r="D173" s="18">
        <v>8.4186979446671391</v>
      </c>
      <c r="E173" s="18">
        <v>8.0619020873138165</v>
      </c>
      <c r="F173" s="18">
        <v>0.35679585735332253</v>
      </c>
      <c r="G173" s="18">
        <v>1.4888006142365495</v>
      </c>
      <c r="H173" s="18">
        <v>6.2352964434053373E-2</v>
      </c>
      <c r="I173" s="18">
        <v>7.9386918079241422</v>
      </c>
      <c r="J173" s="18">
        <v>8.1851123667034908</v>
      </c>
      <c r="K173" s="18">
        <v>0.24763189780613848</v>
      </c>
      <c r="L173" s="18">
        <v>7.5725781940327046</v>
      </c>
      <c r="M173" s="18">
        <v>8.5512259805949284</v>
      </c>
    </row>
    <row r="174" spans="2:13" x14ac:dyDescent="0.15">
      <c r="B174" s="9" t="s">
        <v>293</v>
      </c>
      <c r="C174" s="15">
        <v>1</v>
      </c>
      <c r="D174" s="18">
        <v>8.4497705150988036</v>
      </c>
      <c r="E174" s="18">
        <v>8.1060720174059639</v>
      </c>
      <c r="F174" s="18">
        <v>0.34369849769283967</v>
      </c>
      <c r="G174" s="18">
        <v>1.4341493151658478</v>
      </c>
      <c r="H174" s="18">
        <v>4.2077343936324452E-2</v>
      </c>
      <c r="I174" s="18">
        <v>8.0229266313056264</v>
      </c>
      <c r="J174" s="18">
        <v>8.1892174035063015</v>
      </c>
      <c r="K174" s="18">
        <v>0.24331906524169294</v>
      </c>
      <c r="L174" s="18">
        <v>7.6252703381053637</v>
      </c>
      <c r="M174" s="18">
        <v>8.5868736967065651</v>
      </c>
    </row>
    <row r="175" spans="2:13" x14ac:dyDescent="0.15">
      <c r="B175" s="9" t="s">
        <v>294</v>
      </c>
      <c r="C175" s="15">
        <v>1</v>
      </c>
      <c r="D175" s="18">
        <v>8.6855848426766933</v>
      </c>
      <c r="E175" s="18">
        <v>8.1676901629851777</v>
      </c>
      <c r="F175" s="18">
        <v>0.51789467969151559</v>
      </c>
      <c r="G175" s="18">
        <v>2.1610170111112961</v>
      </c>
      <c r="H175" s="18">
        <v>4.1627104002516367E-2</v>
      </c>
      <c r="I175" s="18">
        <v>8.0854344569271674</v>
      </c>
      <c r="J175" s="18">
        <v>8.2499458690431879</v>
      </c>
      <c r="K175" s="18">
        <v>0.24324160915639373</v>
      </c>
      <c r="L175" s="18">
        <v>7.6870415379298205</v>
      </c>
      <c r="M175" s="18">
        <v>8.6483387880405349</v>
      </c>
    </row>
    <row r="176" spans="2:13" x14ac:dyDescent="0.15">
      <c r="B176" s="9" t="s">
        <v>295</v>
      </c>
      <c r="C176" s="15">
        <v>1</v>
      </c>
      <c r="D176" s="18">
        <v>8.5883969504225703</v>
      </c>
      <c r="E176" s="18">
        <v>8.2300296873892229</v>
      </c>
      <c r="F176" s="18">
        <v>0.35836726303334743</v>
      </c>
      <c r="G176" s="18">
        <v>1.4953576122885732</v>
      </c>
      <c r="H176" s="18">
        <v>4.7990984501298274E-2</v>
      </c>
      <c r="I176" s="18">
        <v>8.1351988696043804</v>
      </c>
      <c r="J176" s="18">
        <v>8.3248605051740654</v>
      </c>
      <c r="K176" s="18">
        <v>0.24441112746918733</v>
      </c>
      <c r="L176" s="18">
        <v>7.747070078736237</v>
      </c>
      <c r="M176" s="18">
        <v>8.7129892960422097</v>
      </c>
    </row>
    <row r="177" spans="2:13" x14ac:dyDescent="0.15">
      <c r="B177" s="9" t="s">
        <v>296</v>
      </c>
      <c r="C177" s="15">
        <v>1</v>
      </c>
      <c r="D177" s="18">
        <v>8.4821875822174224</v>
      </c>
      <c r="E177" s="18">
        <v>8.3471244200147989</v>
      </c>
      <c r="F177" s="18">
        <v>0.13506316220262349</v>
      </c>
      <c r="G177" s="18">
        <v>0.56357750434549447</v>
      </c>
      <c r="H177" s="18">
        <v>3.887549531208221E-2</v>
      </c>
      <c r="I177" s="18">
        <v>8.2703059289889307</v>
      </c>
      <c r="J177" s="18">
        <v>8.4239429110406672</v>
      </c>
      <c r="K177" s="18">
        <v>0.24278584961466598</v>
      </c>
      <c r="L177" s="18">
        <v>7.8673763818197537</v>
      </c>
      <c r="M177" s="18">
        <v>8.826872458209845</v>
      </c>
    </row>
    <row r="178" spans="2:13" x14ac:dyDescent="0.15">
      <c r="B178" s="9" t="s">
        <v>297</v>
      </c>
      <c r="C178" s="15">
        <v>1</v>
      </c>
      <c r="D178" s="18">
        <v>7.9728107841214042</v>
      </c>
      <c r="E178" s="18">
        <v>7.7658721237771573</v>
      </c>
      <c r="F178" s="18">
        <v>0.20693866034424691</v>
      </c>
      <c r="G178" s="18">
        <v>0.86349210138029231</v>
      </c>
      <c r="H178" s="18">
        <v>8.8824253905803882E-2</v>
      </c>
      <c r="I178" s="18">
        <v>7.5903542275608782</v>
      </c>
      <c r="J178" s="18">
        <v>7.9413900199934364</v>
      </c>
      <c r="K178" s="18">
        <v>0.25558445320339462</v>
      </c>
      <c r="L178" s="18">
        <v>7.2608338762347637</v>
      </c>
      <c r="M178" s="18">
        <v>8.27091037131955</v>
      </c>
    </row>
    <row r="179" spans="2:13" x14ac:dyDescent="0.15">
      <c r="B179" s="9" t="s">
        <v>298</v>
      </c>
      <c r="C179" s="15">
        <v>1</v>
      </c>
      <c r="D179" s="18">
        <v>8.0965129175015935</v>
      </c>
      <c r="E179" s="18">
        <v>8.1074371774776601</v>
      </c>
      <c r="F179" s="18">
        <v>-1.0924259976066608E-2</v>
      </c>
      <c r="G179" s="18">
        <v>-4.5583614908235891E-2</v>
      </c>
      <c r="H179" s="18">
        <v>5.5508476499174335E-2</v>
      </c>
      <c r="I179" s="18">
        <v>7.9977516964418411</v>
      </c>
      <c r="J179" s="18">
        <v>8.21712265851348</v>
      </c>
      <c r="K179" s="18">
        <v>0.24599767397399283</v>
      </c>
      <c r="L179" s="18">
        <v>7.6213425320241619</v>
      </c>
      <c r="M179" s="18">
        <v>8.5935318229311584</v>
      </c>
    </row>
    <row r="180" spans="2:13" x14ac:dyDescent="0.15">
      <c r="B180" s="9" t="s">
        <v>299</v>
      </c>
      <c r="C180" s="15">
        <v>1</v>
      </c>
      <c r="D180" s="18">
        <v>8.1653636324739818</v>
      </c>
      <c r="E180" s="18">
        <v>8.0108989294501036</v>
      </c>
      <c r="F180" s="18">
        <v>0.15446470302387816</v>
      </c>
      <c r="G180" s="18">
        <v>0.6445342343537569</v>
      </c>
      <c r="H180" s="18">
        <v>6.1115991993485927E-2</v>
      </c>
      <c r="I180" s="18">
        <v>7.8901329239034288</v>
      </c>
      <c r="J180" s="18">
        <v>8.1316649349967793</v>
      </c>
      <c r="K180" s="18">
        <v>0.24732332909514079</v>
      </c>
      <c r="L180" s="18">
        <v>7.5221847720081456</v>
      </c>
      <c r="M180" s="18">
        <v>8.4996130868920616</v>
      </c>
    </row>
    <row r="181" spans="2:13" x14ac:dyDescent="0.15">
      <c r="B181" s="9" t="s">
        <v>300</v>
      </c>
      <c r="C181" s="15">
        <v>1</v>
      </c>
      <c r="D181" s="18">
        <v>8.2065836143207527</v>
      </c>
      <c r="E181" s="18">
        <v>8.2378585446461763</v>
      </c>
      <c r="F181" s="18">
        <v>-3.1274930325423611E-2</v>
      </c>
      <c r="G181" s="18">
        <v>-0.13050077381528311</v>
      </c>
      <c r="H181" s="18">
        <v>3.7662437935074032E-2</v>
      </c>
      <c r="I181" s="18">
        <v>8.1634370709825692</v>
      </c>
      <c r="J181" s="18">
        <v>8.3122800183097834</v>
      </c>
      <c r="K181" s="18">
        <v>0.24259456685706873</v>
      </c>
      <c r="L181" s="18">
        <v>7.7584884837008081</v>
      </c>
      <c r="M181" s="18">
        <v>8.7172286055915453</v>
      </c>
    </row>
    <row r="182" spans="2:13" x14ac:dyDescent="0.15">
      <c r="B182" s="9" t="s">
        <v>301</v>
      </c>
      <c r="C182" s="15">
        <v>1</v>
      </c>
      <c r="D182" s="18">
        <v>8.1780774638496077</v>
      </c>
      <c r="E182" s="18">
        <v>8.0986376132796565</v>
      </c>
      <c r="F182" s="18">
        <v>7.9439850569951176E-2</v>
      </c>
      <c r="G182" s="18">
        <v>0.33147833946481126</v>
      </c>
      <c r="H182" s="18">
        <v>4.3775067264907652E-2</v>
      </c>
      <c r="I182" s="18">
        <v>8.0121375035099689</v>
      </c>
      <c r="J182" s="18">
        <v>8.1851377230493441</v>
      </c>
      <c r="K182" s="18">
        <v>0.24361839247356237</v>
      </c>
      <c r="L182" s="18">
        <v>7.6172444594244411</v>
      </c>
      <c r="M182" s="18">
        <v>8.5800307671348719</v>
      </c>
    </row>
    <row r="183" spans="2:13" x14ac:dyDescent="0.15">
      <c r="B183" s="9" t="s">
        <v>302</v>
      </c>
      <c r="C183" s="15">
        <v>1</v>
      </c>
      <c r="D183" s="18">
        <v>8.3686931830977933</v>
      </c>
      <c r="E183" s="18">
        <v>8.3012049825753316</v>
      </c>
      <c r="F183" s="18">
        <v>6.7488200522461739E-2</v>
      </c>
      <c r="G183" s="18">
        <v>0.2816077382088607</v>
      </c>
      <c r="H183" s="18">
        <v>3.6324650193281995E-2</v>
      </c>
      <c r="I183" s="18">
        <v>8.2294269951184571</v>
      </c>
      <c r="J183" s="18">
        <v>8.372982970032206</v>
      </c>
      <c r="K183" s="18">
        <v>0.24239048011219375</v>
      </c>
      <c r="L183" s="18">
        <v>7.8222381997272281</v>
      </c>
      <c r="M183" s="18">
        <v>8.7801717654234359</v>
      </c>
    </row>
    <row r="184" spans="2:13" x14ac:dyDescent="0.15">
      <c r="B184" s="9" t="s">
        <v>303</v>
      </c>
      <c r="C184" s="15">
        <v>1</v>
      </c>
      <c r="D184" s="18">
        <v>8.1137260859707467</v>
      </c>
      <c r="E184" s="18">
        <v>8.0821743976814382</v>
      </c>
      <c r="F184" s="18">
        <v>3.1551688289308544E-2</v>
      </c>
      <c r="G184" s="18">
        <v>0.13165560063889928</v>
      </c>
      <c r="H184" s="18">
        <v>7.5446281838848661E-2</v>
      </c>
      <c r="I184" s="18">
        <v>7.9330915505602206</v>
      </c>
      <c r="J184" s="18">
        <v>8.2312572448026557</v>
      </c>
      <c r="K184" s="18">
        <v>0.25124849468337612</v>
      </c>
      <c r="L184" s="18">
        <v>7.5857040613125148</v>
      </c>
      <c r="M184" s="18">
        <v>8.5786447340503607</v>
      </c>
    </row>
    <row r="185" spans="2:13" x14ac:dyDescent="0.15">
      <c r="B185" s="9" t="s">
        <v>304</v>
      </c>
      <c r="C185" s="15">
        <v>1</v>
      </c>
      <c r="D185" s="18">
        <v>8.2824830037305617</v>
      </c>
      <c r="E185" s="18">
        <v>8.1398424540572893</v>
      </c>
      <c r="F185" s="18">
        <v>0.14264054967327233</v>
      </c>
      <c r="G185" s="18">
        <v>0.59519563804327147</v>
      </c>
      <c r="H185" s="18">
        <v>4.6883396131755503E-2</v>
      </c>
      <c r="I185" s="18">
        <v>8.0472002454861187</v>
      </c>
      <c r="J185" s="18">
        <v>8.23248466262846</v>
      </c>
      <c r="K185" s="18">
        <v>0.24419606358457663</v>
      </c>
      <c r="L185" s="18">
        <v>7.6573078144743389</v>
      </c>
      <c r="M185" s="18">
        <v>8.6223770936402389</v>
      </c>
    </row>
    <row r="186" spans="2:13" x14ac:dyDescent="0.15">
      <c r="B186" s="9" t="s">
        <v>305</v>
      </c>
      <c r="C186" s="15">
        <v>1</v>
      </c>
      <c r="D186" s="18">
        <v>8.7795574558837277</v>
      </c>
      <c r="E186" s="18">
        <v>9.1121582226767757</v>
      </c>
      <c r="F186" s="18">
        <v>-0.33260076679304795</v>
      </c>
      <c r="G186" s="18">
        <v>-1.3878418588438972</v>
      </c>
      <c r="H186" s="18">
        <v>4.7579268084691546E-2</v>
      </c>
      <c r="I186" s="18">
        <v>9.0181409619566182</v>
      </c>
      <c r="J186" s="18">
        <v>9.2061754833969331</v>
      </c>
      <c r="K186" s="18">
        <v>0.2443306190161815</v>
      </c>
      <c r="L186" s="18">
        <v>8.6293576997878443</v>
      </c>
      <c r="M186" s="18">
        <v>9.594958745565707</v>
      </c>
    </row>
    <row r="187" spans="2:13" x14ac:dyDescent="0.15">
      <c r="B187" s="9" t="s">
        <v>306</v>
      </c>
      <c r="C187" s="15">
        <v>1</v>
      </c>
      <c r="D187" s="18">
        <v>8.8956296271364828</v>
      </c>
      <c r="E187" s="18">
        <v>9.2649800713228228</v>
      </c>
      <c r="F187" s="18">
        <v>-0.36935044418634</v>
      </c>
      <c r="G187" s="18">
        <v>-1.5411870873507068</v>
      </c>
      <c r="H187" s="18">
        <v>4.8375726617475162E-2</v>
      </c>
      <c r="I187" s="18">
        <v>9.1693889980464025</v>
      </c>
      <c r="J187" s="18">
        <v>9.360571144599243</v>
      </c>
      <c r="K187" s="18">
        <v>0.24448696399424688</v>
      </c>
      <c r="L187" s="18">
        <v>8.7818706086969698</v>
      </c>
      <c r="M187" s="18">
        <v>9.7480895339486757</v>
      </c>
    </row>
    <row r="188" spans="2:13" x14ac:dyDescent="0.15">
      <c r="B188" s="9" t="s">
        <v>307</v>
      </c>
      <c r="C188" s="15">
        <v>1</v>
      </c>
      <c r="D188" s="18">
        <v>8.9931788923395199</v>
      </c>
      <c r="E188" s="18">
        <v>9.1245758485794504</v>
      </c>
      <c r="F188" s="18">
        <v>-0.13139695623993042</v>
      </c>
      <c r="G188" s="18">
        <v>-0.54827954172433646</v>
      </c>
      <c r="H188" s="18">
        <v>4.8721701644842602E-2</v>
      </c>
      <c r="I188" s="18">
        <v>9.0283011240898006</v>
      </c>
      <c r="J188" s="18">
        <v>9.2208505730691002</v>
      </c>
      <c r="K188" s="18">
        <v>0.24455565593239617</v>
      </c>
      <c r="L188" s="18">
        <v>8.6413306497786131</v>
      </c>
      <c r="M188" s="18">
        <v>9.6078210473802876</v>
      </c>
    </row>
    <row r="189" spans="2:13" x14ac:dyDescent="0.15">
      <c r="B189" s="9" t="s">
        <v>308</v>
      </c>
      <c r="C189" s="15">
        <v>1</v>
      </c>
      <c r="D189" s="18">
        <v>10.057538227363054</v>
      </c>
      <c r="E189" s="18">
        <v>10.062970088930102</v>
      </c>
      <c r="F189" s="18">
        <v>-5.431861567048557E-3</v>
      </c>
      <c r="G189" s="18">
        <v>-2.2665506537710621E-2</v>
      </c>
      <c r="H189" s="18">
        <v>6.3178765494027331E-2</v>
      </c>
      <c r="I189" s="18">
        <v>9.9381280157637697</v>
      </c>
      <c r="J189" s="18">
        <v>10.187812162096435</v>
      </c>
      <c r="K189" s="18">
        <v>0.24784112057264585</v>
      </c>
      <c r="L189" s="18">
        <v>9.5732327687052994</v>
      </c>
      <c r="M189" s="18">
        <v>10.552707409154905</v>
      </c>
    </row>
    <row r="190" spans="2:13" x14ac:dyDescent="0.15">
      <c r="B190" s="9" t="s">
        <v>309</v>
      </c>
      <c r="C190" s="15">
        <v>1</v>
      </c>
      <c r="D190" s="18">
        <v>8.3900414057557544</v>
      </c>
      <c r="E190" s="18">
        <v>8.456616121159481</v>
      </c>
      <c r="F190" s="18">
        <v>-6.6574715403726614E-2</v>
      </c>
      <c r="G190" s="18">
        <v>-0.27779604259121221</v>
      </c>
      <c r="H190" s="18">
        <v>4.7156632200758122E-2</v>
      </c>
      <c r="I190" s="18">
        <v>8.36343399451534</v>
      </c>
      <c r="J190" s="18">
        <v>8.5497982478036221</v>
      </c>
      <c r="K190" s="18">
        <v>0.24424866959284153</v>
      </c>
      <c r="L190" s="18">
        <v>7.9739775314109735</v>
      </c>
      <c r="M190" s="18">
        <v>8.9392547109079885</v>
      </c>
    </row>
    <row r="191" spans="2:13" x14ac:dyDescent="0.15">
      <c r="B191" s="9" t="s">
        <v>310</v>
      </c>
      <c r="C191" s="15">
        <v>1</v>
      </c>
      <c r="D191" s="18">
        <v>8.2087640458196667</v>
      </c>
      <c r="E191" s="18">
        <v>7.9878026399098214</v>
      </c>
      <c r="F191" s="18">
        <v>0.22096140590984525</v>
      </c>
      <c r="G191" s="18">
        <v>0.92200475443128282</v>
      </c>
      <c r="H191" s="18">
        <v>4.6096155807989064E-2</v>
      </c>
      <c r="I191" s="18">
        <v>7.8967160285924214</v>
      </c>
      <c r="J191" s="18">
        <v>8.0788892512272223</v>
      </c>
      <c r="K191" s="18">
        <v>0.24404614362376204</v>
      </c>
      <c r="L191" s="18">
        <v>7.5055642441450399</v>
      </c>
      <c r="M191" s="18">
        <v>8.470041035674603</v>
      </c>
    </row>
    <row r="192" spans="2:13" x14ac:dyDescent="0.15">
      <c r="B192" s="9" t="s">
        <v>311</v>
      </c>
      <c r="C192" s="15">
        <v>1</v>
      </c>
      <c r="D192" s="18">
        <v>8.2246995619672347</v>
      </c>
      <c r="E192" s="18">
        <v>8.0582624099799709</v>
      </c>
      <c r="F192" s="18">
        <v>0.16643715198726383</v>
      </c>
      <c r="G192" s="18">
        <v>0.69449162316097413</v>
      </c>
      <c r="H192" s="18">
        <v>6.0446599883986311E-2</v>
      </c>
      <c r="I192" s="18">
        <v>7.938819132062708</v>
      </c>
      <c r="J192" s="18">
        <v>8.1777056878972338</v>
      </c>
      <c r="K192" s="18">
        <v>0.24715876693916852</v>
      </c>
      <c r="L192" s="18">
        <v>7.5698734295267629</v>
      </c>
      <c r="M192" s="18">
        <v>8.546651390433178</v>
      </c>
    </row>
    <row r="193" spans="2:13" x14ac:dyDescent="0.15">
      <c r="B193" s="9" t="s">
        <v>312</v>
      </c>
      <c r="C193" s="15">
        <v>1</v>
      </c>
      <c r="D193" s="18">
        <v>9.6545773745848855</v>
      </c>
      <c r="E193" s="18">
        <v>9.5336836557851345</v>
      </c>
      <c r="F193" s="18">
        <v>0.12089371879975097</v>
      </c>
      <c r="G193" s="18">
        <v>0.50445272582908784</v>
      </c>
      <c r="H193" s="18">
        <v>4.6334013966034489E-2</v>
      </c>
      <c r="I193" s="18">
        <v>9.4421270336130156</v>
      </c>
      <c r="J193" s="18">
        <v>9.6252402779572535</v>
      </c>
      <c r="K193" s="18">
        <v>0.2440911827321097</v>
      </c>
      <c r="L193" s="18">
        <v>9.0513562621487456</v>
      </c>
      <c r="M193" s="18">
        <v>10.016011049421524</v>
      </c>
    </row>
    <row r="194" spans="2:13" x14ac:dyDescent="0.15">
      <c r="B194" s="9" t="s">
        <v>313</v>
      </c>
      <c r="C194" s="15">
        <v>1</v>
      </c>
      <c r="D194" s="18">
        <v>8.4957652440026177</v>
      </c>
      <c r="E194" s="18">
        <v>8.208686641647132</v>
      </c>
      <c r="F194" s="18">
        <v>0.28707860235548566</v>
      </c>
      <c r="G194" s="18">
        <v>1.1978917095379138</v>
      </c>
      <c r="H194" s="18">
        <v>3.7628331330608056E-2</v>
      </c>
      <c r="I194" s="18">
        <v>8.1343325630833956</v>
      </c>
      <c r="J194" s="18">
        <v>8.2830407202108685</v>
      </c>
      <c r="K194" s="18">
        <v>0.24258927419834847</v>
      </c>
      <c r="L194" s="18">
        <v>7.7293270390651401</v>
      </c>
      <c r="M194" s="18">
        <v>8.688046244229124</v>
      </c>
    </row>
    <row r="195" spans="2:13" x14ac:dyDescent="0.15">
      <c r="B195" s="9" t="s">
        <v>314</v>
      </c>
      <c r="C195" s="15">
        <v>1</v>
      </c>
      <c r="D195" s="18">
        <v>8.2955485162257627</v>
      </c>
      <c r="E195" s="18">
        <v>8.1513180654356319</v>
      </c>
      <c r="F195" s="18">
        <v>0.14423045079013086</v>
      </c>
      <c r="G195" s="18">
        <v>0.60182981192890139</v>
      </c>
      <c r="H195" s="18">
        <v>4.0991718755322995E-2</v>
      </c>
      <c r="I195" s="18">
        <v>8.0703178889989839</v>
      </c>
      <c r="J195" s="18">
        <v>8.2323182418722798</v>
      </c>
      <c r="K195" s="18">
        <v>0.24313367854715434</v>
      </c>
      <c r="L195" s="18">
        <v>7.6708827126864083</v>
      </c>
      <c r="M195" s="18">
        <v>8.6317534181848554</v>
      </c>
    </row>
    <row r="196" spans="2:13" x14ac:dyDescent="0.15">
      <c r="B196" s="9" t="s">
        <v>315</v>
      </c>
      <c r="C196" s="15">
        <v>1</v>
      </c>
      <c r="D196" s="18">
        <v>9.588365764325566</v>
      </c>
      <c r="E196" s="18">
        <v>9.3207218500551594</v>
      </c>
      <c r="F196" s="18">
        <v>0.26764391427040657</v>
      </c>
      <c r="G196" s="18">
        <v>1.1167966660775051</v>
      </c>
      <c r="H196" s="18">
        <v>5.1300519328726105E-2</v>
      </c>
      <c r="I196" s="18">
        <v>9.2193513478392983</v>
      </c>
      <c r="J196" s="18">
        <v>9.4220923522710205</v>
      </c>
      <c r="K196" s="18">
        <v>0.24508245127049078</v>
      </c>
      <c r="L196" s="18">
        <v>8.8364356967243012</v>
      </c>
      <c r="M196" s="18">
        <v>9.8050080033860176</v>
      </c>
    </row>
    <row r="197" spans="2:13" x14ac:dyDescent="0.15">
      <c r="B197" s="9" t="s">
        <v>316</v>
      </c>
      <c r="C197" s="15">
        <v>1</v>
      </c>
      <c r="D197" s="18">
        <v>8.2198647419126516</v>
      </c>
      <c r="E197" s="18">
        <v>8.2389346896723996</v>
      </c>
      <c r="F197" s="18">
        <v>-1.9069947759748018E-2</v>
      </c>
      <c r="G197" s="18">
        <v>-7.9573092997144282E-2</v>
      </c>
      <c r="H197" s="18">
        <v>6.0347466087145425E-2</v>
      </c>
      <c r="I197" s="18">
        <v>8.1196873014440492</v>
      </c>
      <c r="J197" s="18">
        <v>8.3581820779007501</v>
      </c>
      <c r="K197" s="18">
        <v>0.24713454088915748</v>
      </c>
      <c r="L197" s="18">
        <v>7.7505935802132573</v>
      </c>
      <c r="M197" s="18">
        <v>8.7272757991315419</v>
      </c>
    </row>
    <row r="198" spans="2:13" x14ac:dyDescent="0.15">
      <c r="B198" s="9" t="s">
        <v>317</v>
      </c>
      <c r="C198" s="15">
        <v>1</v>
      </c>
      <c r="D198" s="18">
        <v>8.2824830037305617</v>
      </c>
      <c r="E198" s="18">
        <v>8.1776463310400764</v>
      </c>
      <c r="F198" s="18">
        <v>0.10483667269048524</v>
      </c>
      <c r="G198" s="18">
        <v>0.43745155522237195</v>
      </c>
      <c r="H198" s="18">
        <v>3.8010414340220545E-2</v>
      </c>
      <c r="I198" s="18">
        <v>8.1025372514143754</v>
      </c>
      <c r="J198" s="18">
        <v>8.2527554106657774</v>
      </c>
      <c r="K198" s="18">
        <v>0.24264883316362915</v>
      </c>
      <c r="L198" s="18">
        <v>7.6981690391578397</v>
      </c>
      <c r="M198" s="18">
        <v>8.6571236229223132</v>
      </c>
    </row>
    <row r="199" spans="2:13" x14ac:dyDescent="0.15">
      <c r="B199" s="9" t="s">
        <v>318</v>
      </c>
      <c r="C199" s="15">
        <v>1</v>
      </c>
      <c r="D199" s="18">
        <v>8.2432825230483751</v>
      </c>
      <c r="E199" s="18">
        <v>8.102188837070857</v>
      </c>
      <c r="F199" s="18">
        <v>0.14109368597751804</v>
      </c>
      <c r="G199" s="18">
        <v>0.58874104622860635</v>
      </c>
      <c r="H199" s="18">
        <v>4.3165594180850669E-2</v>
      </c>
      <c r="I199" s="18">
        <v>8.0168930541467116</v>
      </c>
      <c r="J199" s="18">
        <v>8.1874846199950024</v>
      </c>
      <c r="K199" s="18">
        <v>0.24350961615168581</v>
      </c>
      <c r="L199" s="18">
        <v>7.6210106266610902</v>
      </c>
      <c r="M199" s="18">
        <v>8.5833670474806247</v>
      </c>
    </row>
    <row r="200" spans="2:13" x14ac:dyDescent="0.15">
      <c r="B200" s="9" t="s">
        <v>319</v>
      </c>
      <c r="C200" s="15">
        <v>1</v>
      </c>
      <c r="D200" s="18">
        <v>8.1928471345928653</v>
      </c>
      <c r="E200" s="18">
        <v>8.0516479068200688</v>
      </c>
      <c r="F200" s="18">
        <v>0.14119922777279648</v>
      </c>
      <c r="G200" s="18">
        <v>0.58918144004596662</v>
      </c>
      <c r="H200" s="18">
        <v>4.6868887155610321E-2</v>
      </c>
      <c r="I200" s="18">
        <v>7.9590343681769555</v>
      </c>
      <c r="J200" s="18">
        <v>8.144261445463183</v>
      </c>
      <c r="K200" s="18">
        <v>0.2441932784098711</v>
      </c>
      <c r="L200" s="18">
        <v>7.5691187707790393</v>
      </c>
      <c r="M200" s="18">
        <v>8.5341770428610992</v>
      </c>
    </row>
    <row r="201" spans="2:13" x14ac:dyDescent="0.15">
      <c r="B201" s="9" t="s">
        <v>320</v>
      </c>
      <c r="C201" s="15">
        <v>1</v>
      </c>
      <c r="D201" s="18">
        <v>9.5298844175767083</v>
      </c>
      <c r="E201" s="18">
        <v>9.4849186047456602</v>
      </c>
      <c r="F201" s="18">
        <v>4.4965812831048169E-2</v>
      </c>
      <c r="G201" s="18">
        <v>0.18762866323365632</v>
      </c>
      <c r="H201" s="18">
        <v>4.6508755900993827E-2</v>
      </c>
      <c r="I201" s="18">
        <v>9.3930166902073662</v>
      </c>
      <c r="J201" s="18">
        <v>9.5768205192839542</v>
      </c>
      <c r="K201" s="18">
        <v>0.24412441297996748</v>
      </c>
      <c r="L201" s="18">
        <v>9.0025255477016071</v>
      </c>
      <c r="M201" s="18">
        <v>9.9673116617897133</v>
      </c>
    </row>
    <row r="202" spans="2:13" x14ac:dyDescent="0.15">
      <c r="B202" s="9" t="s">
        <v>321</v>
      </c>
      <c r="C202" s="15">
        <v>1</v>
      </c>
      <c r="D202" s="18">
        <v>8.1847926541650775</v>
      </c>
      <c r="E202" s="18">
        <v>8.2918939642420746</v>
      </c>
      <c r="F202" s="18">
        <v>-0.10710131007699708</v>
      </c>
      <c r="G202" s="18">
        <v>-0.44690119837986836</v>
      </c>
      <c r="H202" s="18">
        <v>4.2940197409321181E-2</v>
      </c>
      <c r="I202" s="18">
        <v>8.2070435683086806</v>
      </c>
      <c r="J202" s="18">
        <v>8.3767443601754685</v>
      </c>
      <c r="K202" s="18">
        <v>0.24346976237493426</v>
      </c>
      <c r="L202" s="18">
        <v>7.8107945054203496</v>
      </c>
      <c r="M202" s="18">
        <v>8.7729934230638005</v>
      </c>
    </row>
    <row r="203" spans="2:13" x14ac:dyDescent="0.15">
      <c r="B203" s="9" t="s">
        <v>322</v>
      </c>
      <c r="C203" s="15">
        <v>1</v>
      </c>
      <c r="D203" s="18">
        <v>8.210396255104774</v>
      </c>
      <c r="E203" s="18">
        <v>8.0935757895169509</v>
      </c>
      <c r="F203" s="18">
        <v>0.11682046558782311</v>
      </c>
      <c r="G203" s="18">
        <v>0.48745627881638054</v>
      </c>
      <c r="H203" s="18">
        <v>4.3398260977579768E-2</v>
      </c>
      <c r="I203" s="18">
        <v>8.0078202539364582</v>
      </c>
      <c r="J203" s="18">
        <v>8.1793313250974435</v>
      </c>
      <c r="K203" s="18">
        <v>0.24355096734201984</v>
      </c>
      <c r="L203" s="18">
        <v>7.6123158686101711</v>
      </c>
      <c r="M203" s="18">
        <v>8.5748357104237307</v>
      </c>
    </row>
    <row r="204" spans="2:13" x14ac:dyDescent="0.15">
      <c r="B204" s="9" t="s">
        <v>323</v>
      </c>
      <c r="C204" s="15">
        <v>1</v>
      </c>
      <c r="D204" s="18">
        <v>8.1104272375750242</v>
      </c>
      <c r="E204" s="18">
        <v>7.9290510242827725</v>
      </c>
      <c r="F204" s="18">
        <v>0.18137621329225162</v>
      </c>
      <c r="G204" s="18">
        <v>0.75682778314883659</v>
      </c>
      <c r="H204" s="18">
        <v>5.1853504642136082E-2</v>
      </c>
      <c r="I204" s="18">
        <v>7.8265878158005444</v>
      </c>
      <c r="J204" s="18">
        <v>8.0315142327650015</v>
      </c>
      <c r="K204" s="18">
        <v>0.24519879808234687</v>
      </c>
      <c r="L204" s="18">
        <v>7.4445349681185045</v>
      </c>
      <c r="M204" s="18">
        <v>8.4135670804470397</v>
      </c>
    </row>
    <row r="205" spans="2:13" x14ac:dyDescent="0.15">
      <c r="B205" s="9" t="s">
        <v>324</v>
      </c>
      <c r="C205" s="15">
        <v>1</v>
      </c>
      <c r="D205" s="18">
        <v>9.7268100381272582</v>
      </c>
      <c r="E205" s="18">
        <v>9.4596954898940044</v>
      </c>
      <c r="F205" s="18">
        <v>0.26711454823325376</v>
      </c>
      <c r="G205" s="18">
        <v>1.1145877825800472</v>
      </c>
      <c r="H205" s="18">
        <v>4.8410975787237458E-2</v>
      </c>
      <c r="I205" s="18">
        <v>9.3640347637936312</v>
      </c>
      <c r="J205" s="18">
        <v>9.5553562159943777</v>
      </c>
      <c r="K205" s="18">
        <v>0.24449394105790836</v>
      </c>
      <c r="L205" s="18">
        <v>8.9765722404984132</v>
      </c>
      <c r="M205" s="18">
        <v>9.9428187392895957</v>
      </c>
    </row>
    <row r="206" spans="2:13" x14ac:dyDescent="0.15">
      <c r="B206" s="9" t="s">
        <v>325</v>
      </c>
      <c r="C206" s="15">
        <v>1</v>
      </c>
      <c r="D206" s="18">
        <v>8.473241303887054</v>
      </c>
      <c r="E206" s="18">
        <v>8.1001415977589328</v>
      </c>
      <c r="F206" s="18">
        <v>0.37309970612812116</v>
      </c>
      <c r="G206" s="18">
        <v>1.5568316173160026</v>
      </c>
      <c r="H206" s="18">
        <v>4.3653095022983888E-2</v>
      </c>
      <c r="I206" s="18">
        <v>8.0138825067465991</v>
      </c>
      <c r="J206" s="18">
        <v>8.1864006887712666</v>
      </c>
      <c r="K206" s="18">
        <v>0.24359650519340614</v>
      </c>
      <c r="L206" s="18">
        <v>7.6187916934577293</v>
      </c>
      <c r="M206" s="18">
        <v>8.5814915020601354</v>
      </c>
    </row>
    <row r="207" spans="2:13" x14ac:dyDescent="0.15">
      <c r="B207" s="9" t="s">
        <v>326</v>
      </c>
      <c r="C207" s="15">
        <v>1</v>
      </c>
      <c r="D207" s="18">
        <v>8.3282094917487317</v>
      </c>
      <c r="E207" s="18">
        <v>8.0658833664440586</v>
      </c>
      <c r="F207" s="18">
        <v>0.26232612530467314</v>
      </c>
      <c r="G207" s="18">
        <v>1.0946071498166023</v>
      </c>
      <c r="H207" s="18">
        <v>4.089944048828368E-2</v>
      </c>
      <c r="I207" s="18">
        <v>7.9850655330790952</v>
      </c>
      <c r="J207" s="18">
        <v>8.1467011998090211</v>
      </c>
      <c r="K207" s="18">
        <v>0.24311813768127244</v>
      </c>
      <c r="L207" s="18">
        <v>7.5854787226506097</v>
      </c>
      <c r="M207" s="18">
        <v>8.5462880102375074</v>
      </c>
    </row>
    <row r="208" spans="2:13" x14ac:dyDescent="0.15">
      <c r="B208" s="9" t="s">
        <v>327</v>
      </c>
      <c r="C208" s="15">
        <v>1</v>
      </c>
      <c r="D208" s="18">
        <v>8.2940496401020276</v>
      </c>
      <c r="E208" s="18">
        <v>8.3060802972621275</v>
      </c>
      <c r="F208" s="18">
        <v>-1.2030657160099878E-2</v>
      </c>
      <c r="G208" s="18">
        <v>-5.0200273911502155E-2</v>
      </c>
      <c r="H208" s="18">
        <v>3.9984611015626746E-2</v>
      </c>
      <c r="I208" s="18">
        <v>8.2270701789904734</v>
      </c>
      <c r="J208" s="18">
        <v>8.3850904155337815</v>
      </c>
      <c r="K208" s="18">
        <v>0.24296591068589532</v>
      </c>
      <c r="L208" s="18">
        <v>7.8259764560175444</v>
      </c>
      <c r="M208" s="18">
        <v>8.7861841385067105</v>
      </c>
    </row>
    <row r="209" spans="2:13" x14ac:dyDescent="0.15">
      <c r="B209" s="9" t="s">
        <v>328</v>
      </c>
      <c r="C209" s="15">
        <v>1</v>
      </c>
      <c r="D209" s="18">
        <v>8.3827470948633138</v>
      </c>
      <c r="E209" s="18">
        <v>8.3036797008068746</v>
      </c>
      <c r="F209" s="18">
        <v>7.9067394056439255E-2</v>
      </c>
      <c r="G209" s="18">
        <v>0.32992419169469339</v>
      </c>
      <c r="H209" s="18">
        <v>3.9740889459706309E-2</v>
      </c>
      <c r="I209" s="18">
        <v>8.2251511795414061</v>
      </c>
      <c r="J209" s="18">
        <v>8.3822082220723431</v>
      </c>
      <c r="K209" s="18">
        <v>0.2429259206680178</v>
      </c>
      <c r="L209" s="18">
        <v>7.8236548803645931</v>
      </c>
      <c r="M209" s="18">
        <v>8.783704521249156</v>
      </c>
    </row>
    <row r="210" spans="2:13" x14ac:dyDescent="0.15">
      <c r="B210" s="9" t="s">
        <v>329</v>
      </c>
      <c r="C210" s="15">
        <v>1</v>
      </c>
      <c r="D210" s="18">
        <v>8.4719865985781588</v>
      </c>
      <c r="E210" s="18">
        <v>8.7290340202889336</v>
      </c>
      <c r="F210" s="18">
        <v>-0.25704742171077477</v>
      </c>
      <c r="G210" s="18">
        <v>-1.0725807249268478</v>
      </c>
      <c r="H210" s="18">
        <v>4.2551703584435545E-2</v>
      </c>
      <c r="I210" s="18">
        <v>8.644951293272964</v>
      </c>
      <c r="J210" s="18">
        <v>8.8131167473049032</v>
      </c>
      <c r="K210" s="18">
        <v>0.2434015450141867</v>
      </c>
      <c r="L210" s="18">
        <v>8.2480693598709927</v>
      </c>
      <c r="M210" s="18">
        <v>9.2099986807068746</v>
      </c>
    </row>
    <row r="211" spans="2:13" x14ac:dyDescent="0.15">
      <c r="B211" s="9" t="s">
        <v>330</v>
      </c>
      <c r="C211" s="15">
        <v>1</v>
      </c>
      <c r="D211" s="18">
        <v>8.464003362902119</v>
      </c>
      <c r="E211" s="18">
        <v>8.6501136408603507</v>
      </c>
      <c r="F211" s="18">
        <v>-0.18611027795823176</v>
      </c>
      <c r="G211" s="18">
        <v>-0.77658159541232186</v>
      </c>
      <c r="H211" s="18">
        <v>8.2506674934667068E-2</v>
      </c>
      <c r="I211" s="18">
        <v>8.4870793639421311</v>
      </c>
      <c r="J211" s="18">
        <v>8.8131479177785703</v>
      </c>
      <c r="K211" s="18">
        <v>0.25345811497391496</v>
      </c>
      <c r="L211" s="18">
        <v>8.1492770656796338</v>
      </c>
      <c r="M211" s="18">
        <v>9.1509502160410676</v>
      </c>
    </row>
    <row r="212" spans="2:13" x14ac:dyDescent="0.15">
      <c r="B212" s="9" t="s">
        <v>331</v>
      </c>
      <c r="C212" s="15">
        <v>1</v>
      </c>
      <c r="D212" s="18">
        <v>8.6990146231685106</v>
      </c>
      <c r="E212" s="18">
        <v>8.8657395351096078</v>
      </c>
      <c r="F212" s="18">
        <v>-0.16672491194109718</v>
      </c>
      <c r="G212" s="18">
        <v>-0.69569235794303608</v>
      </c>
      <c r="H212" s="18">
        <v>4.7281702951984785E-2</v>
      </c>
      <c r="I212" s="18">
        <v>8.7723102670128998</v>
      </c>
      <c r="J212" s="18">
        <v>8.9591688032063157</v>
      </c>
      <c r="K212" s="18">
        <v>0.24427284759341389</v>
      </c>
      <c r="L212" s="18">
        <v>8.3830531693133601</v>
      </c>
      <c r="M212" s="18">
        <v>9.3484259009058555</v>
      </c>
    </row>
    <row r="213" spans="2:13" x14ac:dyDescent="0.15">
      <c r="B213" s="9" t="s">
        <v>332</v>
      </c>
      <c r="C213" s="15">
        <v>1</v>
      </c>
      <c r="D213" s="18">
        <v>8.5131851700186978</v>
      </c>
      <c r="E213" s="18">
        <v>8.6116267974825824</v>
      </c>
      <c r="F213" s="18">
        <v>-9.8441627463884629E-2</v>
      </c>
      <c r="G213" s="18">
        <v>-0.41076697616907526</v>
      </c>
      <c r="H213" s="18">
        <v>7.2186584098643369E-2</v>
      </c>
      <c r="I213" s="18">
        <v>8.4689851560512945</v>
      </c>
      <c r="J213" s="18">
        <v>8.7542684389138703</v>
      </c>
      <c r="K213" s="18">
        <v>0.25028896811722645</v>
      </c>
      <c r="L213" s="18">
        <v>8.1170524982527148</v>
      </c>
      <c r="M213" s="18">
        <v>9.10620109671245</v>
      </c>
    </row>
    <row r="214" spans="2:13" x14ac:dyDescent="0.15">
      <c r="B214" s="9" t="s">
        <v>333</v>
      </c>
      <c r="C214" s="15">
        <v>1</v>
      </c>
      <c r="D214" s="18">
        <v>9.9007337643395061</v>
      </c>
      <c r="E214" s="18">
        <v>9.8240727631606219</v>
      </c>
      <c r="F214" s="18">
        <v>7.6661001178884192E-2</v>
      </c>
      <c r="G214" s="18">
        <v>0.31988304597967837</v>
      </c>
      <c r="H214" s="18">
        <v>6.5154673273601596E-2</v>
      </c>
      <c r="I214" s="18">
        <v>9.6953262701839513</v>
      </c>
      <c r="J214" s="18">
        <v>9.9528192561372926</v>
      </c>
      <c r="K214" s="18">
        <v>0.24835216142958219</v>
      </c>
      <c r="L214" s="18">
        <v>9.3333256194681748</v>
      </c>
      <c r="M214" s="18">
        <v>10.314819906853069</v>
      </c>
    </row>
    <row r="215" spans="2:13" x14ac:dyDescent="0.15">
      <c r="B215" s="9" t="s">
        <v>334</v>
      </c>
      <c r="C215" s="15">
        <v>1</v>
      </c>
      <c r="D215" s="18">
        <v>8.6628507638386001</v>
      </c>
      <c r="E215" s="18">
        <v>9.19435608310879</v>
      </c>
      <c r="F215" s="18">
        <v>-0.53150531927018996</v>
      </c>
      <c r="G215" s="18">
        <v>-2.2178100711966784</v>
      </c>
      <c r="H215" s="18">
        <v>4.3275138958207476E-2</v>
      </c>
      <c r="I215" s="18">
        <v>9.1088438382610413</v>
      </c>
      <c r="J215" s="18">
        <v>9.2798683279565388</v>
      </c>
      <c r="K215" s="18">
        <v>0.24352905840824757</v>
      </c>
      <c r="L215" s="18">
        <v>8.7131394545438532</v>
      </c>
      <c r="M215" s="18">
        <v>9.6755727116737269</v>
      </c>
    </row>
    <row r="216" spans="2:13" x14ac:dyDescent="0.15">
      <c r="B216" s="9" t="s">
        <v>335</v>
      </c>
      <c r="C216" s="15">
        <v>1</v>
      </c>
      <c r="D216" s="18">
        <v>8.2912958519054065</v>
      </c>
      <c r="E216" s="18">
        <v>8.7574084100320846</v>
      </c>
      <c r="F216" s="18">
        <v>-0.46611255812667807</v>
      </c>
      <c r="G216" s="18">
        <v>-1.9449459643113918</v>
      </c>
      <c r="H216" s="18">
        <v>6.5210064591237432E-2</v>
      </c>
      <c r="I216" s="18">
        <v>8.6285524630818369</v>
      </c>
      <c r="J216" s="18">
        <v>8.8862643569823323</v>
      </c>
      <c r="K216" s="18">
        <v>0.24836669897824232</v>
      </c>
      <c r="L216" s="18">
        <v>8.2666325399519138</v>
      </c>
      <c r="M216" s="18">
        <v>9.2481842801122554</v>
      </c>
    </row>
    <row r="217" spans="2:13" x14ac:dyDescent="0.15">
      <c r="B217" s="9" t="s">
        <v>336</v>
      </c>
      <c r="C217" s="15">
        <v>1</v>
      </c>
      <c r="D217" s="18">
        <v>9.5153219415060253</v>
      </c>
      <c r="E217" s="18">
        <v>9.5127699811426325</v>
      </c>
      <c r="F217" s="18">
        <v>2.5519603633927801E-3</v>
      </c>
      <c r="G217" s="18">
        <v>1.0648554567616868E-2</v>
      </c>
      <c r="H217" s="18">
        <v>4.4574459544575257E-2</v>
      </c>
      <c r="I217" s="18">
        <v>9.4246902616941775</v>
      </c>
      <c r="J217" s="18">
        <v>9.6008497005910876</v>
      </c>
      <c r="K217" s="18">
        <v>0.2437633013417862</v>
      </c>
      <c r="L217" s="18">
        <v>9.0310904854542429</v>
      </c>
      <c r="M217" s="18">
        <v>9.9944494768310221</v>
      </c>
    </row>
    <row r="218" spans="2:13" x14ac:dyDescent="0.15">
      <c r="B218" s="9" t="s">
        <v>337</v>
      </c>
      <c r="C218" s="15">
        <v>1</v>
      </c>
      <c r="D218" s="18">
        <v>8.7727652099497853</v>
      </c>
      <c r="E218" s="18">
        <v>9.0010702937157152</v>
      </c>
      <c r="F218" s="18">
        <v>-0.22830508376592995</v>
      </c>
      <c r="G218" s="18">
        <v>-0.95264768897653285</v>
      </c>
      <c r="H218" s="18">
        <v>3.9212554078305366E-2</v>
      </c>
      <c r="I218" s="18">
        <v>8.9235857701261345</v>
      </c>
      <c r="J218" s="18">
        <v>9.0785548173052959</v>
      </c>
      <c r="K218" s="18">
        <v>0.24284004825131192</v>
      </c>
      <c r="L218" s="18">
        <v>8.5212151583004445</v>
      </c>
      <c r="M218" s="18">
        <v>9.4809254291309859</v>
      </c>
    </row>
    <row r="219" spans="2:13" x14ac:dyDescent="0.15">
      <c r="B219" s="9" t="s">
        <v>338</v>
      </c>
      <c r="C219" s="15">
        <v>1</v>
      </c>
      <c r="D219" s="18">
        <v>9.547241088215463</v>
      </c>
      <c r="E219" s="18">
        <v>9.0400643668546401</v>
      </c>
      <c r="F219" s="18">
        <v>0.50717672136082292</v>
      </c>
      <c r="G219" s="18">
        <v>2.1162942302346801</v>
      </c>
      <c r="H219" s="18">
        <v>3.9835056329935399E-2</v>
      </c>
      <c r="I219" s="18">
        <v>8.9613497706126974</v>
      </c>
      <c r="J219" s="18">
        <v>9.1187789630965828</v>
      </c>
      <c r="K219" s="18">
        <v>0.24294134343533341</v>
      </c>
      <c r="L219" s="18">
        <v>8.5600090708209073</v>
      </c>
      <c r="M219" s="18">
        <v>9.5201196628883729</v>
      </c>
    </row>
    <row r="220" spans="2:13" x14ac:dyDescent="0.15">
      <c r="B220" s="9" t="s">
        <v>339</v>
      </c>
      <c r="C220" s="15">
        <v>1</v>
      </c>
      <c r="D220" s="18">
        <v>8.8140332016527836</v>
      </c>
      <c r="E220" s="18">
        <v>8.957048954991766</v>
      </c>
      <c r="F220" s="18">
        <v>-0.14301575333898242</v>
      </c>
      <c r="G220" s="18">
        <v>-0.5967612488441274</v>
      </c>
      <c r="H220" s="18">
        <v>3.8149604796062546E-2</v>
      </c>
      <c r="I220" s="18">
        <v>8.8816648331911114</v>
      </c>
      <c r="J220" s="18">
        <v>9.0324330767924206</v>
      </c>
      <c r="K220" s="18">
        <v>0.24267067598589501</v>
      </c>
      <c r="L220" s="18">
        <v>8.477528501404894</v>
      </c>
      <c r="M220" s="18">
        <v>9.436569408578638</v>
      </c>
    </row>
    <row r="221" spans="2:13" x14ac:dyDescent="0.15">
      <c r="B221" s="9" t="s">
        <v>340</v>
      </c>
      <c r="C221" s="15">
        <v>1</v>
      </c>
      <c r="D221" s="18">
        <v>8.6628507638386001</v>
      </c>
      <c r="E221" s="18">
        <v>8.8212039005053704</v>
      </c>
      <c r="F221" s="18">
        <v>-0.15835313666677031</v>
      </c>
      <c r="G221" s="18">
        <v>-0.66075948550689223</v>
      </c>
      <c r="H221" s="18">
        <v>4.2910495575174783E-2</v>
      </c>
      <c r="I221" s="18">
        <v>8.7364121957876506</v>
      </c>
      <c r="J221" s="18">
        <v>8.9059956052230902</v>
      </c>
      <c r="K221" s="18">
        <v>0.24346452568672625</v>
      </c>
      <c r="L221" s="18">
        <v>8.3401147894485508</v>
      </c>
      <c r="M221" s="18">
        <v>9.30229301156219</v>
      </c>
    </row>
    <row r="222" spans="2:13" x14ac:dyDescent="0.15">
      <c r="B222" s="9" t="s">
        <v>341</v>
      </c>
      <c r="C222" s="15">
        <v>1</v>
      </c>
      <c r="D222" s="18">
        <v>8.9903169479982168</v>
      </c>
      <c r="E222" s="18">
        <v>8.7941638804774271</v>
      </c>
      <c r="F222" s="18">
        <v>0.19615306752078965</v>
      </c>
      <c r="G222" s="18">
        <v>0.81848710233242716</v>
      </c>
      <c r="H222" s="18">
        <v>4.1199088728797836E-2</v>
      </c>
      <c r="I222" s="18">
        <v>8.712753938240537</v>
      </c>
      <c r="J222" s="18">
        <v>8.8755738227143173</v>
      </c>
      <c r="K222" s="18">
        <v>0.2431687265037156</v>
      </c>
      <c r="L222" s="18">
        <v>8.3136592725041876</v>
      </c>
      <c r="M222" s="18">
        <v>9.2746684884506667</v>
      </c>
    </row>
    <row r="223" spans="2:13" x14ac:dyDescent="0.15">
      <c r="B223" s="9" t="s">
        <v>342</v>
      </c>
      <c r="C223" s="15">
        <v>1</v>
      </c>
      <c r="D223" s="18">
        <v>8.7618633732747266</v>
      </c>
      <c r="E223" s="18">
        <v>8.9827460472426459</v>
      </c>
      <c r="F223" s="18">
        <v>-0.22088267396791927</v>
      </c>
      <c r="G223" s="18">
        <v>-0.92167622997932042</v>
      </c>
      <c r="H223" s="18">
        <v>4.3130864889164428E-2</v>
      </c>
      <c r="I223" s="18">
        <v>8.8975188898565243</v>
      </c>
      <c r="J223" s="18">
        <v>9.0679732046287675</v>
      </c>
      <c r="K223" s="18">
        <v>0.24350346228224937</v>
      </c>
      <c r="L223" s="18">
        <v>8.501579996959979</v>
      </c>
      <c r="M223" s="18">
        <v>9.4639120975253128</v>
      </c>
    </row>
    <row r="224" spans="2:13" x14ac:dyDescent="0.15">
      <c r="B224" s="9" t="s">
        <v>343</v>
      </c>
      <c r="C224" s="15">
        <v>1</v>
      </c>
      <c r="D224" s="18">
        <v>9.4863040514737644</v>
      </c>
      <c r="E224" s="18">
        <v>8.9988620447500125</v>
      </c>
      <c r="F224" s="18">
        <v>0.48744200672375193</v>
      </c>
      <c r="G224" s="18">
        <v>2.033947267208259</v>
      </c>
      <c r="H224" s="18">
        <v>3.8366654220658866E-2</v>
      </c>
      <c r="I224" s="18">
        <v>8.9230490304261458</v>
      </c>
      <c r="J224" s="18">
        <v>9.0746750590738792</v>
      </c>
      <c r="K224" s="18">
        <v>0.24270489239700771</v>
      </c>
      <c r="L224" s="18">
        <v>8.5192739790838896</v>
      </c>
      <c r="M224" s="18">
        <v>9.4784501104161354</v>
      </c>
    </row>
    <row r="225" spans="2:13" x14ac:dyDescent="0.15">
      <c r="B225" s="9" t="s">
        <v>344</v>
      </c>
      <c r="C225" s="15">
        <v>1</v>
      </c>
      <c r="D225" s="18">
        <v>8.562931083090092</v>
      </c>
      <c r="E225" s="18">
        <v>8.2640976330988423</v>
      </c>
      <c r="F225" s="18">
        <v>0.29883344999124972</v>
      </c>
      <c r="G225" s="18">
        <v>1.2469411141756261</v>
      </c>
      <c r="H225" s="18">
        <v>3.8362518196700016E-2</v>
      </c>
      <c r="I225" s="18">
        <v>8.1882927916128221</v>
      </c>
      <c r="J225" s="18">
        <v>8.3399024745848624</v>
      </c>
      <c r="K225" s="18">
        <v>0.24270423861100496</v>
      </c>
      <c r="L225" s="18">
        <v>7.7845108593224754</v>
      </c>
      <c r="M225" s="18">
        <v>8.7436844068752091</v>
      </c>
    </row>
    <row r="226" spans="2:13" x14ac:dyDescent="0.15">
      <c r="B226" s="9" t="s">
        <v>345</v>
      </c>
      <c r="C226" s="15">
        <v>1</v>
      </c>
      <c r="D226" s="18">
        <v>8.3143423433697894</v>
      </c>
      <c r="E226" s="18">
        <v>8.0804769104398098</v>
      </c>
      <c r="F226" s="18">
        <v>0.23386543292997963</v>
      </c>
      <c r="G226" s="18">
        <v>0.97584933518457495</v>
      </c>
      <c r="H226" s="18">
        <v>4.6244782880831913E-2</v>
      </c>
      <c r="I226" s="18">
        <v>7.9890966100679108</v>
      </c>
      <c r="J226" s="18">
        <v>8.1718572108117087</v>
      </c>
      <c r="K226" s="18">
        <v>0.24407426038206234</v>
      </c>
      <c r="L226" s="18">
        <v>7.5981829555901124</v>
      </c>
      <c r="M226" s="18">
        <v>8.5627708652895063</v>
      </c>
    </row>
    <row r="227" spans="2:13" x14ac:dyDescent="0.15">
      <c r="B227" s="9" t="s">
        <v>346</v>
      </c>
      <c r="C227" s="15">
        <v>1</v>
      </c>
      <c r="D227" s="18">
        <v>8.2912958519054065</v>
      </c>
      <c r="E227" s="18">
        <v>8.0472787161285773</v>
      </c>
      <c r="F227" s="18">
        <v>0.24401713577682926</v>
      </c>
      <c r="G227" s="18">
        <v>1.018209304120453</v>
      </c>
      <c r="H227" s="18">
        <v>4.3348701423188564E-2</v>
      </c>
      <c r="I227" s="18">
        <v>7.9616211108806425</v>
      </c>
      <c r="J227" s="18">
        <v>8.132936321376512</v>
      </c>
      <c r="K227" s="18">
        <v>0.24354214122494741</v>
      </c>
      <c r="L227" s="18">
        <v>7.5660362357454396</v>
      </c>
      <c r="M227" s="18">
        <v>8.5285211965117149</v>
      </c>
    </row>
    <row r="228" spans="2:13" x14ac:dyDescent="0.15">
      <c r="B228" s="9" t="s">
        <v>347</v>
      </c>
      <c r="C228" s="15">
        <v>1</v>
      </c>
      <c r="D228" s="18">
        <v>8.2128395846764839</v>
      </c>
      <c r="E228" s="18">
        <v>8.0075480578176244</v>
      </c>
      <c r="F228" s="18">
        <v>0.20529152685885954</v>
      </c>
      <c r="G228" s="18">
        <v>0.85661911422465409</v>
      </c>
      <c r="H228" s="18">
        <v>4.8223667172906687E-2</v>
      </c>
      <c r="I228" s="18">
        <v>7.9122574560074632</v>
      </c>
      <c r="J228" s="18">
        <v>8.1028386596277855</v>
      </c>
      <c r="K228" s="18">
        <v>0.24445692199845509</v>
      </c>
      <c r="L228" s="18">
        <v>7.524497958571339</v>
      </c>
      <c r="M228" s="18">
        <v>8.4905981570639089</v>
      </c>
    </row>
    <row r="229" spans="2:13" x14ac:dyDescent="0.15">
      <c r="B229" s="9" t="s">
        <v>348</v>
      </c>
      <c r="C229" s="15">
        <v>1</v>
      </c>
      <c r="D229" s="18">
        <v>8.0824022539262437</v>
      </c>
      <c r="E229" s="18">
        <v>8.0640435465899412</v>
      </c>
      <c r="F229" s="18">
        <v>1.8358707336302516E-2</v>
      </c>
      <c r="G229" s="18">
        <v>7.6605302992096835E-2</v>
      </c>
      <c r="H229" s="18">
        <v>4.0431491257063204E-2</v>
      </c>
      <c r="I229" s="18">
        <v>7.9841503870723587</v>
      </c>
      <c r="J229" s="18">
        <v>8.1439367061075227</v>
      </c>
      <c r="K229" s="18">
        <v>0.24303985295137392</v>
      </c>
      <c r="L229" s="18">
        <v>7.5837935944543835</v>
      </c>
      <c r="M229" s="18">
        <v>8.5442934987254979</v>
      </c>
    </row>
    <row r="230" spans="2:13" x14ac:dyDescent="0.15">
      <c r="B230" s="9" t="s">
        <v>349</v>
      </c>
      <c r="C230" s="15">
        <v>1</v>
      </c>
      <c r="D230" s="18">
        <v>9.4441468714586456</v>
      </c>
      <c r="E230" s="18">
        <v>9.336685543972342</v>
      </c>
      <c r="F230" s="18">
        <v>0.10746132748630366</v>
      </c>
      <c r="G230" s="18">
        <v>0.44840344155076006</v>
      </c>
      <c r="H230" s="18">
        <v>8.8637986256973625E-2</v>
      </c>
      <c r="I230" s="18">
        <v>9.1615357150847281</v>
      </c>
      <c r="J230" s="18">
        <v>9.5118353728599558</v>
      </c>
      <c r="K230" s="18">
        <v>0.25551977857897212</v>
      </c>
      <c r="L230" s="18">
        <v>8.8317750943400704</v>
      </c>
      <c r="M230" s="18">
        <v>9.8415959936046136</v>
      </c>
    </row>
    <row r="231" spans="2:13" x14ac:dyDescent="0.15">
      <c r="B231" s="9" t="s">
        <v>350</v>
      </c>
      <c r="C231" s="15">
        <v>1</v>
      </c>
      <c r="D231" s="18">
        <v>8.2128395846764839</v>
      </c>
      <c r="E231" s="18">
        <v>8.2131932872226017</v>
      </c>
      <c r="F231" s="18">
        <v>-3.5370254611777341E-4</v>
      </c>
      <c r="G231" s="18">
        <v>-1.4758931670994886E-3</v>
      </c>
      <c r="H231" s="18">
        <v>4.0800791504408296E-2</v>
      </c>
      <c r="I231" s="18">
        <v>8.1325703855497427</v>
      </c>
      <c r="J231" s="18">
        <v>8.2938161888954607</v>
      </c>
      <c r="K231" s="18">
        <v>0.24310156154319881</v>
      </c>
      <c r="L231" s="18">
        <v>7.732821398096422</v>
      </c>
      <c r="M231" s="18">
        <v>8.6935651763487822</v>
      </c>
    </row>
    <row r="232" spans="2:13" x14ac:dyDescent="0.15">
      <c r="B232" s="9" t="s">
        <v>351</v>
      </c>
      <c r="C232" s="15">
        <v>1</v>
      </c>
      <c r="D232" s="18">
        <v>8.0100275284817339</v>
      </c>
      <c r="E232" s="18">
        <v>8.0819493678521042</v>
      </c>
      <c r="F232" s="18">
        <v>-7.1921839370370222E-2</v>
      </c>
      <c r="G232" s="18">
        <v>-0.30010796489039593</v>
      </c>
      <c r="H232" s="18">
        <v>4.0816104562303411E-2</v>
      </c>
      <c r="I232" s="18">
        <v>8.0012962073750522</v>
      </c>
      <c r="J232" s="18">
        <v>8.1626025283291561</v>
      </c>
      <c r="K232" s="18">
        <v>0.24310413206894771</v>
      </c>
      <c r="L232" s="18">
        <v>7.601572399333171</v>
      </c>
      <c r="M232" s="18">
        <v>8.5623263363710382</v>
      </c>
    </row>
    <row r="233" spans="2:13" x14ac:dyDescent="0.15">
      <c r="B233" s="9" t="s">
        <v>352</v>
      </c>
      <c r="C233" s="15">
        <v>1</v>
      </c>
      <c r="D233" s="18">
        <v>7.8961806086154915</v>
      </c>
      <c r="E233" s="18">
        <v>8.0017173858024577</v>
      </c>
      <c r="F233" s="18">
        <v>-0.10553677718696619</v>
      </c>
      <c r="G233" s="18">
        <v>-0.44037287839053429</v>
      </c>
      <c r="H233" s="18">
        <v>4.0625234253329028E-2</v>
      </c>
      <c r="I233" s="18">
        <v>7.9214413875711696</v>
      </c>
      <c r="J233" s="18">
        <v>8.0819933840337459</v>
      </c>
      <c r="K233" s="18">
        <v>0.24307215861857429</v>
      </c>
      <c r="L233" s="18">
        <v>7.5214035972427986</v>
      </c>
      <c r="M233" s="18">
        <v>8.4820311743621168</v>
      </c>
    </row>
    <row r="234" spans="2:13" x14ac:dyDescent="0.15">
      <c r="B234" s="9" t="s">
        <v>353</v>
      </c>
      <c r="C234" s="15">
        <v>1</v>
      </c>
      <c r="D234" s="18">
        <v>8.0080328469693072</v>
      </c>
      <c r="E234" s="18">
        <v>8.1463841159192096</v>
      </c>
      <c r="F234" s="18">
        <v>-0.13835126894990246</v>
      </c>
      <c r="G234" s="18">
        <v>-0.57729777391739312</v>
      </c>
      <c r="H234" s="18">
        <v>5.1613365580847205E-2</v>
      </c>
      <c r="I234" s="18">
        <v>8.0443954253865666</v>
      </c>
      <c r="J234" s="18">
        <v>8.2483728064518527</v>
      </c>
      <c r="K234" s="18">
        <v>0.24514812694356378</v>
      </c>
      <c r="L234" s="18">
        <v>7.6619681865929055</v>
      </c>
      <c r="M234" s="18">
        <v>8.6308000452455129</v>
      </c>
    </row>
    <row r="235" spans="2:13" x14ac:dyDescent="0.15">
      <c r="B235" s="9" t="s">
        <v>354</v>
      </c>
      <c r="C235" s="15">
        <v>1</v>
      </c>
      <c r="D235" s="18">
        <v>8.1330002185836126</v>
      </c>
      <c r="E235" s="18">
        <v>8.1713159697678162</v>
      </c>
      <c r="F235" s="18">
        <v>-3.8315751184203606E-2</v>
      </c>
      <c r="G235" s="18">
        <v>-0.15987997820694405</v>
      </c>
      <c r="H235" s="18">
        <v>6.6207926581142371E-2</v>
      </c>
      <c r="I235" s="18">
        <v>8.0404882343760011</v>
      </c>
      <c r="J235" s="18">
        <v>8.3021437051596312</v>
      </c>
      <c r="K235" s="18">
        <v>0.24863055761416258</v>
      </c>
      <c r="L235" s="18">
        <v>7.6800187115460199</v>
      </c>
      <c r="M235" s="18">
        <v>8.6626132279896115</v>
      </c>
    </row>
    <row r="236" spans="2:13" x14ac:dyDescent="0.15">
      <c r="B236" s="9" t="s">
        <v>355</v>
      </c>
      <c r="C236" s="15">
        <v>1</v>
      </c>
      <c r="D236" s="18">
        <v>7.8872085858139318</v>
      </c>
      <c r="E236" s="18">
        <v>8.1352153392443363</v>
      </c>
      <c r="F236" s="18">
        <v>-0.24800675343040446</v>
      </c>
      <c r="G236" s="18">
        <v>-1.0348567653809961</v>
      </c>
      <c r="H236" s="18">
        <v>3.7858625663249511E-2</v>
      </c>
      <c r="I236" s="18">
        <v>8.0604061960445534</v>
      </c>
      <c r="J236" s="18">
        <v>8.2100244824441191</v>
      </c>
      <c r="K236" s="18">
        <v>0.24262510211119034</v>
      </c>
      <c r="L236" s="18">
        <v>7.6557849402344393</v>
      </c>
      <c r="M236" s="18">
        <v>8.6146457382542323</v>
      </c>
    </row>
    <row r="237" spans="2:13" x14ac:dyDescent="0.15">
      <c r="B237" s="9" t="s">
        <v>356</v>
      </c>
      <c r="C237" s="15">
        <v>1</v>
      </c>
      <c r="D237" s="18">
        <v>8.5529463611220553</v>
      </c>
      <c r="E237" s="18">
        <v>8.2370215862731637</v>
      </c>
      <c r="F237" s="18">
        <v>0.31592477484889159</v>
      </c>
      <c r="G237" s="18">
        <v>1.3182580154841965</v>
      </c>
      <c r="H237" s="18">
        <v>4.3925846047193073E-2</v>
      </c>
      <c r="I237" s="18">
        <v>8.1502235356427644</v>
      </c>
      <c r="J237" s="18">
        <v>8.3238196369035631</v>
      </c>
      <c r="K237" s="18">
        <v>0.24364553061428645</v>
      </c>
      <c r="L237" s="18">
        <v>7.7555748070942592</v>
      </c>
      <c r="M237" s="18">
        <v>8.7184683654520683</v>
      </c>
    </row>
    <row r="238" spans="2:13" x14ac:dyDescent="0.15">
      <c r="B238" s="9" t="s">
        <v>357</v>
      </c>
      <c r="C238" s="15">
        <v>1</v>
      </c>
      <c r="D238" s="18">
        <v>10.216106110277941</v>
      </c>
      <c r="E238" s="18">
        <v>10.014247801074193</v>
      </c>
      <c r="F238" s="18">
        <v>0.20185830920374848</v>
      </c>
      <c r="G238" s="18">
        <v>0.84229334096132968</v>
      </c>
      <c r="H238" s="18">
        <v>6.139577159547812E-2</v>
      </c>
      <c r="I238" s="18">
        <v>9.8929289473471318</v>
      </c>
      <c r="J238" s="18">
        <v>10.135566654801254</v>
      </c>
      <c r="K238" s="18">
        <v>0.24739261388966244</v>
      </c>
      <c r="L238" s="18">
        <v>9.5253967359652467</v>
      </c>
      <c r="M238" s="18">
        <v>10.503098866183139</v>
      </c>
    </row>
    <row r="239" spans="2:13" x14ac:dyDescent="0.15">
      <c r="B239" s="9" t="s">
        <v>358</v>
      </c>
      <c r="C239" s="15">
        <v>1</v>
      </c>
      <c r="D239" s="18">
        <v>8.5998785580348454</v>
      </c>
      <c r="E239" s="18">
        <v>8.8685632453758583</v>
      </c>
      <c r="F239" s="18">
        <v>-0.26868468734101292</v>
      </c>
      <c r="G239" s="18">
        <v>-1.1211394956111596</v>
      </c>
      <c r="H239" s="18">
        <v>4.6385838160784586E-2</v>
      </c>
      <c r="I239" s="18">
        <v>8.7769042179119907</v>
      </c>
      <c r="J239" s="18">
        <v>8.9602222728397258</v>
      </c>
      <c r="K239" s="18">
        <v>0.24410102543667034</v>
      </c>
      <c r="L239" s="18">
        <v>8.3862164024255534</v>
      </c>
      <c r="M239" s="18">
        <v>9.3509100883261631</v>
      </c>
    </row>
    <row r="240" spans="2:13" x14ac:dyDescent="0.15">
      <c r="B240" s="9" t="s">
        <v>359</v>
      </c>
      <c r="C240" s="15">
        <v>1</v>
      </c>
      <c r="D240" s="18">
        <v>8.153061946801051</v>
      </c>
      <c r="E240" s="18">
        <v>8.0766103207729429</v>
      </c>
      <c r="F240" s="18">
        <v>7.6451626028108066E-2</v>
      </c>
      <c r="G240" s="18">
        <v>0.31900938714464128</v>
      </c>
      <c r="H240" s="18">
        <v>4.2612035298301286E-2</v>
      </c>
      <c r="I240" s="18">
        <v>7.9924083774953427</v>
      </c>
      <c r="J240" s="18">
        <v>8.1608122640505432</v>
      </c>
      <c r="K240" s="18">
        <v>0.2434120995136009</v>
      </c>
      <c r="L240" s="18">
        <v>7.5956248045250758</v>
      </c>
      <c r="M240" s="18">
        <v>8.5575958370208109</v>
      </c>
    </row>
    <row r="241" spans="2:13" x14ac:dyDescent="0.15">
      <c r="B241" s="9" t="s">
        <v>360</v>
      </c>
      <c r="C241" s="15">
        <v>1</v>
      </c>
      <c r="D241" s="18">
        <v>7.8292325375435921</v>
      </c>
      <c r="E241" s="18">
        <v>8.0172101368923183</v>
      </c>
      <c r="F241" s="18">
        <v>-0.18797759934872627</v>
      </c>
      <c r="G241" s="18">
        <v>-0.78437335973875644</v>
      </c>
      <c r="H241" s="18">
        <v>4.1590530683306322E-2</v>
      </c>
      <c r="I241" s="18">
        <v>7.9350267001950181</v>
      </c>
      <c r="J241" s="18">
        <v>8.0993935735896176</v>
      </c>
      <c r="K241" s="18">
        <v>0.24323535285783299</v>
      </c>
      <c r="L241" s="18">
        <v>7.5365738743653612</v>
      </c>
      <c r="M241" s="18">
        <v>8.4978463994192754</v>
      </c>
    </row>
    <row r="242" spans="2:13" x14ac:dyDescent="0.15">
      <c r="B242" s="9" t="s">
        <v>361</v>
      </c>
      <c r="C242" s="15">
        <v>1</v>
      </c>
      <c r="D242" s="18">
        <v>7.9885429827376946</v>
      </c>
      <c r="E242" s="18">
        <v>8.1090804498035585</v>
      </c>
      <c r="F242" s="18">
        <v>-0.12053746706586388</v>
      </c>
      <c r="G242" s="18">
        <v>-0.5029661956766126</v>
      </c>
      <c r="H242" s="18">
        <v>3.7563460571705308E-2</v>
      </c>
      <c r="I242" s="18">
        <v>8.0348545567142597</v>
      </c>
      <c r="J242" s="18">
        <v>8.1833063428928572</v>
      </c>
      <c r="K242" s="18">
        <v>0.24257922047751235</v>
      </c>
      <c r="L242" s="18">
        <v>7.6297407135064237</v>
      </c>
      <c r="M242" s="18">
        <v>8.5884201861006932</v>
      </c>
    </row>
    <row r="243" spans="2:13" x14ac:dyDescent="0.15">
      <c r="B243" s="9" t="s">
        <v>362</v>
      </c>
      <c r="C243" s="15">
        <v>1</v>
      </c>
      <c r="D243" s="18">
        <v>7.8853292392731911</v>
      </c>
      <c r="E243" s="18">
        <v>8.0044350766311165</v>
      </c>
      <c r="F243" s="18">
        <v>-0.11910583735792546</v>
      </c>
      <c r="G243" s="18">
        <v>-0.4969924402514555</v>
      </c>
      <c r="H243" s="18">
        <v>4.6355443228531946E-2</v>
      </c>
      <c r="I243" s="18">
        <v>7.912836109953914</v>
      </c>
      <c r="J243" s="18">
        <v>8.0960340433083182</v>
      </c>
      <c r="K243" s="18">
        <v>0.24409525139639471</v>
      </c>
      <c r="L243" s="18">
        <v>7.5220996432604856</v>
      </c>
      <c r="M243" s="18">
        <v>8.4867705100017474</v>
      </c>
    </row>
    <row r="244" spans="2:13" x14ac:dyDescent="0.15">
      <c r="B244" s="9" t="s">
        <v>363</v>
      </c>
      <c r="C244" s="15">
        <v>1</v>
      </c>
      <c r="D244" s="18">
        <v>8.9177127571313868</v>
      </c>
      <c r="E244" s="18">
        <v>8.8563234054415183</v>
      </c>
      <c r="F244" s="18">
        <v>6.1389351689868477E-2</v>
      </c>
      <c r="G244" s="18">
        <v>0.25615909663702446</v>
      </c>
      <c r="H244" s="18">
        <v>5.1724588720332552E-2</v>
      </c>
      <c r="I244" s="18">
        <v>8.7541149365195885</v>
      </c>
      <c r="J244" s="18">
        <v>8.9585318743634481</v>
      </c>
      <c r="K244" s="18">
        <v>0.24517156791855585</v>
      </c>
      <c r="L244" s="18">
        <v>8.3718611564397314</v>
      </c>
      <c r="M244" s="18">
        <v>9.3407856544433052</v>
      </c>
    </row>
    <row r="245" spans="2:13" x14ac:dyDescent="0.15">
      <c r="B245" s="9" t="s">
        <v>364</v>
      </c>
      <c r="C245" s="15">
        <v>1</v>
      </c>
      <c r="D245" s="18">
        <v>7.6534949096612532</v>
      </c>
      <c r="E245" s="18">
        <v>7.9975702470405938</v>
      </c>
      <c r="F245" s="18">
        <v>-0.3440753373793406</v>
      </c>
      <c r="G245" s="18">
        <v>-1.4357217525839641</v>
      </c>
      <c r="H245" s="18">
        <v>5.4240187288749006E-2</v>
      </c>
      <c r="I245" s="18">
        <v>7.890390922197696</v>
      </c>
      <c r="J245" s="18">
        <v>8.1047495718834917</v>
      </c>
      <c r="K245" s="18">
        <v>0.24571459572942356</v>
      </c>
      <c r="L245" s="18">
        <v>7.5120349679286811</v>
      </c>
      <c r="M245" s="18">
        <v>8.4831055261525066</v>
      </c>
    </row>
    <row r="246" spans="2:13" x14ac:dyDescent="0.15">
      <c r="B246" s="9" t="s">
        <v>365</v>
      </c>
      <c r="C246" s="15">
        <v>1</v>
      </c>
      <c r="D246" s="18">
        <v>10.076347825540569</v>
      </c>
      <c r="E246" s="18">
        <v>9.9809842805154645</v>
      </c>
      <c r="F246" s="18">
        <v>9.5363545025104912E-2</v>
      </c>
      <c r="G246" s="18">
        <v>0.39792307416998918</v>
      </c>
      <c r="H246" s="18">
        <v>5.812514168245695E-2</v>
      </c>
      <c r="I246" s="18">
        <v>9.8661282345958785</v>
      </c>
      <c r="J246" s="18">
        <v>10.09584032643505</v>
      </c>
      <c r="K246" s="18">
        <v>0.24660129102046724</v>
      </c>
      <c r="L246" s="18">
        <v>9.4936968798238546</v>
      </c>
      <c r="M246" s="18">
        <v>10.468271681207074</v>
      </c>
    </row>
    <row r="247" spans="2:13" x14ac:dyDescent="0.15">
      <c r="B247" s="9" t="s">
        <v>366</v>
      </c>
      <c r="C247" s="15">
        <v>1</v>
      </c>
      <c r="D247" s="18">
        <v>8.0060341787490099</v>
      </c>
      <c r="E247" s="18">
        <v>8.3719697323004674</v>
      </c>
      <c r="F247" s="18">
        <v>-0.36593555355145746</v>
      </c>
      <c r="G247" s="18">
        <v>-1.5269377871697094</v>
      </c>
      <c r="H247" s="18">
        <v>4.5592535691835481E-2</v>
      </c>
      <c r="I247" s="18">
        <v>8.2818782809691367</v>
      </c>
      <c r="J247" s="18">
        <v>8.462061183631798</v>
      </c>
      <c r="K247" s="18">
        <v>0.24395151966767245</v>
      </c>
      <c r="L247" s="18">
        <v>7.8899183147198437</v>
      </c>
      <c r="M247" s="18">
        <v>8.8540211498810919</v>
      </c>
    </row>
    <row r="248" spans="2:13" x14ac:dyDescent="0.15">
      <c r="B248" s="9" t="s">
        <v>367</v>
      </c>
      <c r="C248" s="15">
        <v>1</v>
      </c>
      <c r="D248" s="18">
        <v>7.6515955738576009</v>
      </c>
      <c r="E248" s="18">
        <v>7.8521939545958332</v>
      </c>
      <c r="F248" s="18">
        <v>-0.20059838073823233</v>
      </c>
      <c r="G248" s="18">
        <v>-0.83703604260795494</v>
      </c>
      <c r="H248" s="18">
        <v>6.867599114989234E-2</v>
      </c>
      <c r="I248" s="18">
        <v>7.7164892910927803</v>
      </c>
      <c r="J248" s="18">
        <v>7.9878986180988862</v>
      </c>
      <c r="K248" s="18">
        <v>0.24929913035904391</v>
      </c>
      <c r="L248" s="18">
        <v>7.3595755878199078</v>
      </c>
      <c r="M248" s="18">
        <v>8.3448123213717587</v>
      </c>
    </row>
    <row r="249" spans="2:13" x14ac:dyDescent="0.15">
      <c r="B249" s="9" t="s">
        <v>368</v>
      </c>
      <c r="C249" s="15">
        <v>1</v>
      </c>
      <c r="D249" s="18">
        <v>7.693937325509272</v>
      </c>
      <c r="E249" s="18">
        <v>7.8753041947896438</v>
      </c>
      <c r="F249" s="18">
        <v>-0.18136686928037182</v>
      </c>
      <c r="G249" s="18">
        <v>-0.75678879342869443</v>
      </c>
      <c r="H249" s="18">
        <v>5.8264636055266876E-2</v>
      </c>
      <c r="I249" s="18">
        <v>7.7601725061511715</v>
      </c>
      <c r="J249" s="18">
        <v>7.9904358834281162</v>
      </c>
      <c r="K249" s="18">
        <v>0.24663420778960932</v>
      </c>
      <c r="L249" s="18">
        <v>7.3879517501284422</v>
      </c>
      <c r="M249" s="18">
        <v>8.3626566394508455</v>
      </c>
    </row>
    <row r="250" spans="2:13" x14ac:dyDescent="0.15">
      <c r="B250" s="9" t="s">
        <v>369</v>
      </c>
      <c r="C250" s="15">
        <v>1</v>
      </c>
      <c r="D250" s="18">
        <v>7.7084106672573673</v>
      </c>
      <c r="E250" s="18">
        <v>7.9823993039375019</v>
      </c>
      <c r="F250" s="18">
        <v>-0.27398863668013451</v>
      </c>
      <c r="G250" s="18">
        <v>-1.1432712633187205</v>
      </c>
      <c r="H250" s="18">
        <v>5.7490191579797657E-2</v>
      </c>
      <c r="I250" s="18">
        <v>7.8687979277879458</v>
      </c>
      <c r="J250" s="18">
        <v>8.0960006800870588</v>
      </c>
      <c r="K250" s="18">
        <v>0.24645240263636572</v>
      </c>
      <c r="L250" s="18">
        <v>7.4954061086548815</v>
      </c>
      <c r="M250" s="18">
        <v>8.4693924992201222</v>
      </c>
    </row>
    <row r="251" spans="2:13" x14ac:dyDescent="0.15">
      <c r="B251" s="9" t="s">
        <v>370</v>
      </c>
      <c r="C251" s="15">
        <v>1</v>
      </c>
      <c r="D251" s="18">
        <v>7.5432733467054458</v>
      </c>
      <c r="E251" s="18">
        <v>7.7755453088022453</v>
      </c>
      <c r="F251" s="18">
        <v>-0.23227196209679946</v>
      </c>
      <c r="G251" s="18">
        <v>-0.96920026595825437</v>
      </c>
      <c r="H251" s="18">
        <v>7.5998781998581469E-2</v>
      </c>
      <c r="I251" s="18">
        <v>7.6253707140847204</v>
      </c>
      <c r="J251" s="18">
        <v>7.9257199035197701</v>
      </c>
      <c r="K251" s="18">
        <v>0.25141495481101239</v>
      </c>
      <c r="L251" s="18">
        <v>7.2787460450275532</v>
      </c>
      <c r="M251" s="18">
        <v>8.2723445725769373</v>
      </c>
    </row>
    <row r="252" spans="2:13" x14ac:dyDescent="0.15">
      <c r="B252" s="9" t="s">
        <v>371</v>
      </c>
      <c r="C252" s="15">
        <v>1</v>
      </c>
      <c r="D252" s="18">
        <v>7.6434829070772006</v>
      </c>
      <c r="E252" s="18">
        <v>7.829960400510295</v>
      </c>
      <c r="F252" s="18">
        <v>-0.18647749343309439</v>
      </c>
      <c r="G252" s="18">
        <v>-0.77811387392191012</v>
      </c>
      <c r="H252" s="18">
        <v>6.5991234343949337E-2</v>
      </c>
      <c r="I252" s="18">
        <v>7.6995608518346756</v>
      </c>
      <c r="J252" s="18">
        <v>7.9603599491859143</v>
      </c>
      <c r="K252" s="18">
        <v>0.24857294230787372</v>
      </c>
      <c r="L252" s="18">
        <v>7.3387769908929625</v>
      </c>
      <c r="M252" s="18">
        <v>8.3211438101276283</v>
      </c>
    </row>
    <row r="253" spans="2:13" x14ac:dyDescent="0.15">
      <c r="B253" s="9" t="s">
        <v>372</v>
      </c>
      <c r="C253" s="15">
        <v>1</v>
      </c>
      <c r="D253" s="18">
        <v>9.8903516531429876</v>
      </c>
      <c r="E253" s="18">
        <v>9.926678265491601</v>
      </c>
      <c r="F253" s="18">
        <v>-3.6326612348613452E-2</v>
      </c>
      <c r="G253" s="18">
        <v>-0.15157990672574467</v>
      </c>
      <c r="H253" s="18">
        <v>6.2173404110380748E-2</v>
      </c>
      <c r="I253" s="18">
        <v>9.8038227996676941</v>
      </c>
      <c r="J253" s="18">
        <v>10.049533731315508</v>
      </c>
      <c r="K253" s="18">
        <v>0.24758674604273184</v>
      </c>
      <c r="L253" s="18">
        <v>9.4374435926899771</v>
      </c>
      <c r="M253" s="18">
        <v>10.415912938293225</v>
      </c>
    </row>
    <row r="254" spans="2:13" x14ac:dyDescent="0.15">
      <c r="B254" s="9" t="s">
        <v>373</v>
      </c>
      <c r="C254" s="15">
        <v>1</v>
      </c>
      <c r="D254" s="18">
        <v>8.118802996980035</v>
      </c>
      <c r="E254" s="18">
        <v>8.4587617016077559</v>
      </c>
      <c r="F254" s="18">
        <v>-0.33995870462772082</v>
      </c>
      <c r="G254" s="18">
        <v>-1.4185442959434611</v>
      </c>
      <c r="H254" s="18">
        <v>6.0850484086968262E-2</v>
      </c>
      <c r="I254" s="18">
        <v>8.3385203431831396</v>
      </c>
      <c r="J254" s="18">
        <v>8.5790030600323721</v>
      </c>
      <c r="K254" s="18">
        <v>0.24725785336561881</v>
      </c>
      <c r="L254" s="18">
        <v>7.9701769250701524</v>
      </c>
      <c r="M254" s="18">
        <v>8.9473464781453593</v>
      </c>
    </row>
    <row r="255" spans="2:13" x14ac:dyDescent="0.15">
      <c r="B255" s="9" t="s">
        <v>374</v>
      </c>
      <c r="C255" s="15">
        <v>1</v>
      </c>
      <c r="D255" s="18">
        <v>9.4721660298827359</v>
      </c>
      <c r="E255" s="18">
        <v>9.4653388480616627</v>
      </c>
      <c r="F255" s="18">
        <v>6.8271818210732249E-3</v>
      </c>
      <c r="G255" s="18">
        <v>2.8487753653072986E-2</v>
      </c>
      <c r="H255" s="18">
        <v>4.516138679829125E-2</v>
      </c>
      <c r="I255" s="18">
        <v>9.3760993526255199</v>
      </c>
      <c r="J255" s="18">
        <v>9.5545783434978055</v>
      </c>
      <c r="K255" s="18">
        <v>0.24387130929016715</v>
      </c>
      <c r="L255" s="18">
        <v>8.9834459272439773</v>
      </c>
      <c r="M255" s="18">
        <v>9.9472317688793481</v>
      </c>
    </row>
    <row r="256" spans="2:13" x14ac:dyDescent="0.15">
      <c r="B256" s="9" t="s">
        <v>375</v>
      </c>
      <c r="C256" s="15">
        <v>1</v>
      </c>
      <c r="D256" s="18">
        <v>7.7393592026890978</v>
      </c>
      <c r="E256" s="18">
        <v>8.1288898160028999</v>
      </c>
      <c r="F256" s="18">
        <v>-0.38953061331380212</v>
      </c>
      <c r="G256" s="18">
        <v>-1.6253927965067165</v>
      </c>
      <c r="H256" s="18">
        <v>5.5423050417903949E-2</v>
      </c>
      <c r="I256" s="18">
        <v>8.0193731380293887</v>
      </c>
      <c r="J256" s="18">
        <v>8.2384064939764112</v>
      </c>
      <c r="K256" s="18">
        <v>0.24597841196938605</v>
      </c>
      <c r="L256" s="18">
        <v>7.6428332325243336</v>
      </c>
      <c r="M256" s="18">
        <v>8.6149463994814663</v>
      </c>
    </row>
    <row r="257" spans="2:13" x14ac:dyDescent="0.15">
      <c r="B257" s="9" t="s">
        <v>376</v>
      </c>
      <c r="C257" s="15">
        <v>1</v>
      </c>
      <c r="D257" s="18">
        <v>7.8605707855386644</v>
      </c>
      <c r="E257" s="18">
        <v>8.1828620734027133</v>
      </c>
      <c r="F257" s="18">
        <v>-0.32229128786404893</v>
      </c>
      <c r="G257" s="18">
        <v>-1.3448235382955362</v>
      </c>
      <c r="H257" s="18">
        <v>4.2912205960254489E-2</v>
      </c>
      <c r="I257" s="18">
        <v>8.0980669889415378</v>
      </c>
      <c r="J257" s="18">
        <v>8.2676571578638889</v>
      </c>
      <c r="K257" s="18">
        <v>0.24346482714702505</v>
      </c>
      <c r="L257" s="18">
        <v>7.7017723666563711</v>
      </c>
      <c r="M257" s="18">
        <v>8.6639517801490555</v>
      </c>
    </row>
    <row r="258" spans="2:13" x14ac:dyDescent="0.15">
      <c r="B258" s="9" t="s">
        <v>377</v>
      </c>
      <c r="C258" s="15">
        <v>1</v>
      </c>
      <c r="D258" s="18">
        <v>7.6539691804787742</v>
      </c>
      <c r="E258" s="18">
        <v>8.1054077177776911</v>
      </c>
      <c r="F258" s="18">
        <v>-0.45143853729891692</v>
      </c>
      <c r="G258" s="18">
        <v>-1.8837157376385056</v>
      </c>
      <c r="H258" s="18">
        <v>4.0683441009258026E-2</v>
      </c>
      <c r="I258" s="18">
        <v>8.0250167022296566</v>
      </c>
      <c r="J258" s="18">
        <v>8.1857987333257256</v>
      </c>
      <c r="K258" s="18">
        <v>0.2430818936278662</v>
      </c>
      <c r="L258" s="18">
        <v>7.6250746927113857</v>
      </c>
      <c r="M258" s="18">
        <v>8.5857407428439956</v>
      </c>
    </row>
    <row r="259" spans="2:13" x14ac:dyDescent="0.15">
      <c r="B259" s="9" t="s">
        <v>378</v>
      </c>
      <c r="C259" s="15">
        <v>1</v>
      </c>
      <c r="D259" s="18">
        <v>7.7182409519593156</v>
      </c>
      <c r="E259" s="18">
        <v>8.053403740815968</v>
      </c>
      <c r="F259" s="18">
        <v>-0.3351627888566524</v>
      </c>
      <c r="G259" s="18">
        <v>-1.3985323978268225</v>
      </c>
      <c r="H259" s="18">
        <v>4.8424868894297812E-2</v>
      </c>
      <c r="I259" s="18">
        <v>7.9577155617529645</v>
      </c>
      <c r="J259" s="18">
        <v>8.1490919198789715</v>
      </c>
      <c r="K259" s="18">
        <v>0.24449669233915092</v>
      </c>
      <c r="L259" s="18">
        <v>7.5702750548523863</v>
      </c>
      <c r="M259" s="18">
        <v>8.5365324267795497</v>
      </c>
    </row>
    <row r="260" spans="2:13" x14ac:dyDescent="0.15">
      <c r="B260" s="9" t="s">
        <v>379</v>
      </c>
      <c r="C260" s="15">
        <v>1</v>
      </c>
      <c r="D260" s="18">
        <v>8.3277261664614119</v>
      </c>
      <c r="E260" s="18">
        <v>8.2026502007981108</v>
      </c>
      <c r="F260" s="18">
        <v>0.12507596566330115</v>
      </c>
      <c r="G260" s="18">
        <v>0.52190397020599899</v>
      </c>
      <c r="H260" s="18">
        <v>4.1266238327729195E-2</v>
      </c>
      <c r="I260" s="18">
        <v>8.1211075700688546</v>
      </c>
      <c r="J260" s="18">
        <v>8.284192831527367</v>
      </c>
      <c r="K260" s="18">
        <v>0.24318011239218643</v>
      </c>
      <c r="L260" s="18">
        <v>7.7221230941592127</v>
      </c>
      <c r="M260" s="18">
        <v>8.6831773074370098</v>
      </c>
    </row>
    <row r="261" spans="2:13" x14ac:dyDescent="0.15">
      <c r="B261" s="9" t="s">
        <v>380</v>
      </c>
      <c r="C261" s="15">
        <v>1</v>
      </c>
      <c r="D261" s="18">
        <v>7.917536353943631</v>
      </c>
      <c r="E261" s="18">
        <v>7.7914347835407431</v>
      </c>
      <c r="F261" s="18">
        <v>0.12610157040288783</v>
      </c>
      <c r="G261" s="18">
        <v>0.52618350690686522</v>
      </c>
      <c r="H261" s="18">
        <v>6.4050182206726952E-2</v>
      </c>
      <c r="I261" s="18">
        <v>7.6648707794668569</v>
      </c>
      <c r="J261" s="18">
        <v>7.9179987876146294</v>
      </c>
      <c r="K261" s="18">
        <v>0.24806469010737986</v>
      </c>
      <c r="L261" s="18">
        <v>7.301255686969176</v>
      </c>
      <c r="M261" s="18">
        <v>8.2816138801123103</v>
      </c>
    </row>
    <row r="262" spans="2:13" x14ac:dyDescent="0.15">
      <c r="B262" s="9" t="s">
        <v>381</v>
      </c>
      <c r="C262" s="15">
        <v>1</v>
      </c>
      <c r="D262" s="18">
        <v>7.6866213349446202</v>
      </c>
      <c r="E262" s="18">
        <v>7.8235527103466378</v>
      </c>
      <c r="F262" s="18">
        <v>-0.13693137540201761</v>
      </c>
      <c r="G262" s="18">
        <v>-0.57137298991927588</v>
      </c>
      <c r="H262" s="18">
        <v>6.5000742815497503E-2</v>
      </c>
      <c r="I262" s="18">
        <v>7.6951103859836287</v>
      </c>
      <c r="J262" s="18">
        <v>7.9519950347096469</v>
      </c>
      <c r="K262" s="18">
        <v>0.24831182252144568</v>
      </c>
      <c r="L262" s="18">
        <v>7.3328852768682422</v>
      </c>
      <c r="M262" s="18">
        <v>8.3142201438250325</v>
      </c>
    </row>
    <row r="263" spans="2:13" x14ac:dyDescent="0.15">
      <c r="B263" s="9" t="s">
        <v>382</v>
      </c>
      <c r="C263" s="15">
        <v>1</v>
      </c>
      <c r="D263" s="18">
        <v>7.917536353943631</v>
      </c>
      <c r="E263" s="18">
        <v>7.9506215267227258</v>
      </c>
      <c r="F263" s="18">
        <v>-3.308517277909484E-2</v>
      </c>
      <c r="G263" s="18">
        <v>-0.13805436509555952</v>
      </c>
      <c r="H263" s="18">
        <v>4.3636001281025731E-2</v>
      </c>
      <c r="I263" s="18">
        <v>7.8643962131697567</v>
      </c>
      <c r="J263" s="18">
        <v>8.036846840275695</v>
      </c>
      <c r="K263" s="18">
        <v>0.24359344253315432</v>
      </c>
      <c r="L263" s="18">
        <v>7.4692776742785387</v>
      </c>
      <c r="M263" s="18">
        <v>8.4319653791669129</v>
      </c>
    </row>
    <row r="264" spans="2:13" x14ac:dyDescent="0.15">
      <c r="B264" s="9" t="s">
        <v>383</v>
      </c>
      <c r="C264" s="15">
        <v>1</v>
      </c>
      <c r="D264" s="18">
        <v>7.5893358231706172</v>
      </c>
      <c r="E264" s="18">
        <v>7.8673011952799099</v>
      </c>
      <c r="F264" s="18">
        <v>-0.27796537210929273</v>
      </c>
      <c r="G264" s="18">
        <v>-1.1598649709741433</v>
      </c>
      <c r="H264" s="18">
        <v>6.3749835430665897E-2</v>
      </c>
      <c r="I264" s="18">
        <v>7.7413306803933972</v>
      </c>
      <c r="J264" s="18">
        <v>7.9932717101664226</v>
      </c>
      <c r="K264" s="18">
        <v>0.24798731047130712</v>
      </c>
      <c r="L264" s="18">
        <v>7.3772750018889068</v>
      </c>
      <c r="M264" s="18">
        <v>8.3573273886709121</v>
      </c>
    </row>
    <row r="265" spans="2:13" x14ac:dyDescent="0.15">
      <c r="B265" s="9" t="s">
        <v>384</v>
      </c>
      <c r="C265" s="15">
        <v>1</v>
      </c>
      <c r="D265" s="18">
        <v>9.6196646904100671</v>
      </c>
      <c r="E265" s="18">
        <v>9.9670740931853654</v>
      </c>
      <c r="F265" s="18">
        <v>-0.3474094027752983</v>
      </c>
      <c r="G265" s="18">
        <v>-1.4496337936211761</v>
      </c>
      <c r="H265" s="18">
        <v>6.3486265558872088E-2</v>
      </c>
      <c r="I265" s="18">
        <v>9.8416243958387586</v>
      </c>
      <c r="J265" s="18">
        <v>10.092523790531972</v>
      </c>
      <c r="K265" s="18">
        <v>0.24791968568866635</v>
      </c>
      <c r="L265" s="18">
        <v>9.4771815272559987</v>
      </c>
      <c r="M265" s="18">
        <v>10.456966659114732</v>
      </c>
    </row>
    <row r="266" spans="2:13" x14ac:dyDescent="0.15">
      <c r="B266" s="9" t="s">
        <v>385</v>
      </c>
      <c r="C266" s="15">
        <v>1</v>
      </c>
      <c r="D266" s="18">
        <v>8.1050055375472461</v>
      </c>
      <c r="E266" s="18">
        <v>8.3336108472652697</v>
      </c>
      <c r="F266" s="18">
        <v>-0.22860530971802362</v>
      </c>
      <c r="G266" s="18">
        <v>-0.95390044057853418</v>
      </c>
      <c r="H266" s="18">
        <v>5.9711080833490165E-2</v>
      </c>
      <c r="I266" s="18">
        <v>8.2156209646842289</v>
      </c>
      <c r="J266" s="18">
        <v>8.4516007298463105</v>
      </c>
      <c r="K266" s="18">
        <v>0.24697991378178727</v>
      </c>
      <c r="L266" s="18">
        <v>7.8455752830079186</v>
      </c>
      <c r="M266" s="18">
        <v>8.8216464115226216</v>
      </c>
    </row>
    <row r="267" spans="2:13" x14ac:dyDescent="0.15">
      <c r="B267" s="9" t="s">
        <v>386</v>
      </c>
      <c r="C267" s="15">
        <v>1</v>
      </c>
      <c r="D267" s="18">
        <v>8.0394799191004491</v>
      </c>
      <c r="E267" s="18">
        <v>8.2524523013937063</v>
      </c>
      <c r="F267" s="18">
        <v>-0.21297238229325721</v>
      </c>
      <c r="G267" s="18">
        <v>-0.88866898827145235</v>
      </c>
      <c r="H267" s="18">
        <v>5.6714504298427011E-2</v>
      </c>
      <c r="I267" s="18">
        <v>8.140383693533904</v>
      </c>
      <c r="J267" s="18">
        <v>8.3645209092535087</v>
      </c>
      <c r="K267" s="18">
        <v>0.24627261243421239</v>
      </c>
      <c r="L267" s="18">
        <v>7.7658143739197607</v>
      </c>
      <c r="M267" s="18">
        <v>8.7390902288676529</v>
      </c>
    </row>
    <row r="268" spans="2:13" x14ac:dyDescent="0.15">
      <c r="B268" s="9" t="s">
        <v>387</v>
      </c>
      <c r="C268" s="15">
        <v>1</v>
      </c>
      <c r="D268" s="18">
        <v>7.5973963202127948</v>
      </c>
      <c r="E268" s="18">
        <v>8.0597254598761996</v>
      </c>
      <c r="F268" s="18">
        <v>-0.46232913966340483</v>
      </c>
      <c r="G268" s="18">
        <v>-1.9291589095686088</v>
      </c>
      <c r="H268" s="18">
        <v>4.976265496861005E-2</v>
      </c>
      <c r="I268" s="18">
        <v>7.961393797901426</v>
      </c>
      <c r="J268" s="18">
        <v>8.1580571218509732</v>
      </c>
      <c r="K268" s="18">
        <v>0.24476516595888478</v>
      </c>
      <c r="L268" s="18">
        <v>7.5760662665021625</v>
      </c>
      <c r="M268" s="18">
        <v>8.5433846532502375</v>
      </c>
    </row>
    <row r="269" spans="2:13" x14ac:dyDescent="0.15">
      <c r="B269" s="9" t="s">
        <v>388</v>
      </c>
      <c r="C269" s="15">
        <v>1</v>
      </c>
      <c r="D269" s="18">
        <v>7.950854857719988</v>
      </c>
      <c r="E269" s="18">
        <v>7.9984714420061893</v>
      </c>
      <c r="F269" s="18">
        <v>-4.7616584286201302E-2</v>
      </c>
      <c r="G269" s="18">
        <v>-0.19868952643960056</v>
      </c>
      <c r="H269" s="18">
        <v>6.7051903728530399E-2</v>
      </c>
      <c r="I269" s="18">
        <v>7.8659759966494667</v>
      </c>
      <c r="J269" s="18">
        <v>8.1309668873629128</v>
      </c>
      <c r="K269" s="18">
        <v>0.24885663027328725</v>
      </c>
      <c r="L269" s="18">
        <v>7.5067274612308479</v>
      </c>
      <c r="M269" s="18">
        <v>8.4902154227815316</v>
      </c>
    </row>
    <row r="270" spans="2:13" ht="14" thickBot="1" x14ac:dyDescent="0.2">
      <c r="B270" s="13" t="s">
        <v>389</v>
      </c>
      <c r="C270" s="16">
        <v>1</v>
      </c>
      <c r="D270" s="19">
        <v>9.2846126163507705</v>
      </c>
      <c r="E270" s="19">
        <v>9.4517357989065918</v>
      </c>
      <c r="F270" s="19">
        <v>-0.16712318255582126</v>
      </c>
      <c r="G270" s="19">
        <v>-0.6973542201076699</v>
      </c>
      <c r="H270" s="19">
        <v>5.7902585231678932E-2</v>
      </c>
      <c r="I270" s="19">
        <v>9.3373195274665228</v>
      </c>
      <c r="J270" s="19">
        <v>9.5661520703466607</v>
      </c>
      <c r="K270" s="19">
        <v>0.24654892823508143</v>
      </c>
      <c r="L270" s="19">
        <v>8.9645518677689253</v>
      </c>
      <c r="M270" s="19">
        <v>9.9389197300442582</v>
      </c>
    </row>
    <row r="292" spans="6:6" x14ac:dyDescent="0.15">
      <c r="F292" t="s">
        <v>230</v>
      </c>
    </row>
    <row r="314" spans="6:6" x14ac:dyDescent="0.15">
      <c r="F314" t="s">
        <v>230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DD479720">
              <controlPr defaultSize="0" autoFill="0" autoPict="0" macro="[0]!GoToResultsNew1101202119301141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XLSTAT_20211101_192941_1_HID">
    <tabColor rgb="FF007800"/>
  </sheetPr>
  <dimension ref="A1:H70"/>
  <sheetViews>
    <sheetView workbookViewId="0"/>
  </sheetViews>
  <sheetFormatPr baseColWidth="10" defaultRowHeight="13" x14ac:dyDescent="0.15"/>
  <sheetData>
    <row r="1" spans="1:8" x14ac:dyDescent="0.15">
      <c r="A1">
        <v>1</v>
      </c>
      <c r="C1">
        <f t="shared" ref="C1:C32" si="0">7.66739815520508+(A1-1)*0.0667517021810099</f>
        <v>7.6673981552050803</v>
      </c>
      <c r="D1">
        <f t="shared" ref="D1:D32" si="1">0+1*C1-0.473557915770081*(1.00641025641026+(C1-8.64515460443147)^2/49.571220742238)^0.5</f>
        <v>7.1877946064568432</v>
      </c>
      <c r="E1">
        <v>1</v>
      </c>
      <c r="G1">
        <f t="shared" ref="G1:G32" si="2">6.21269769902173+(E1-1)*0.0878343174880151</f>
        <v>6.2126976990217297</v>
      </c>
      <c r="H1">
        <f t="shared" ref="H1:H32" si="3">0+1*G1+0.473557915770081*(1.00641025641026+(G1-8.64515460443147)^2/49.571220742238)^0.5</f>
        <v>6.7151537555286289</v>
      </c>
    </row>
    <row r="2" spans="1:8" x14ac:dyDescent="0.15">
      <c r="A2">
        <v>2</v>
      </c>
      <c r="C2">
        <f t="shared" si="0"/>
        <v>7.7341498573860905</v>
      </c>
      <c r="D2">
        <f t="shared" si="1"/>
        <v>7.2551413033083767</v>
      </c>
      <c r="E2">
        <v>2</v>
      </c>
      <c r="G2">
        <f t="shared" si="2"/>
        <v>6.3005320165097451</v>
      </c>
      <c r="H2">
        <f t="shared" si="3"/>
        <v>6.8010955818674255</v>
      </c>
    </row>
    <row r="3" spans="1:8" x14ac:dyDescent="0.15">
      <c r="A3">
        <v>3</v>
      </c>
      <c r="C3">
        <f t="shared" si="0"/>
        <v>7.8009015595670999</v>
      </c>
      <c r="D3">
        <f t="shared" si="1"/>
        <v>7.3224466074398382</v>
      </c>
      <c r="E3">
        <v>3</v>
      </c>
      <c r="G3">
        <f t="shared" si="2"/>
        <v>6.3883663339977597</v>
      </c>
      <c r="H3">
        <f t="shared" si="3"/>
        <v>6.8871002112914947</v>
      </c>
    </row>
    <row r="4" spans="1:8" x14ac:dyDescent="0.15">
      <c r="A4">
        <v>4</v>
      </c>
      <c r="C4">
        <f t="shared" si="0"/>
        <v>7.8676532617481101</v>
      </c>
      <c r="D4">
        <f t="shared" si="1"/>
        <v>7.3897103750154605</v>
      </c>
      <c r="E4">
        <v>4</v>
      </c>
      <c r="G4">
        <f t="shared" si="2"/>
        <v>6.4762006514857751</v>
      </c>
      <c r="H4">
        <f t="shared" si="3"/>
        <v>6.9731683374684899</v>
      </c>
    </row>
    <row r="5" spans="1:8" x14ac:dyDescent="0.15">
      <c r="A5">
        <v>5</v>
      </c>
      <c r="C5">
        <f t="shared" si="0"/>
        <v>7.9344049639291203</v>
      </c>
      <c r="D5">
        <f t="shared" si="1"/>
        <v>7.4569324723975816</v>
      </c>
      <c r="E5">
        <v>5</v>
      </c>
      <c r="G5">
        <f t="shared" si="2"/>
        <v>6.5640349689737905</v>
      </c>
      <c r="H5">
        <f t="shared" si="3"/>
        <v>7.0593006397155733</v>
      </c>
    </row>
    <row r="6" spans="1:8" x14ac:dyDescent="0.15">
      <c r="A6">
        <v>6</v>
      </c>
      <c r="C6">
        <f t="shared" si="0"/>
        <v>8.0011566661101305</v>
      </c>
      <c r="D6">
        <f t="shared" si="1"/>
        <v>7.5241127763179119</v>
      </c>
      <c r="E6">
        <v>6</v>
      </c>
      <c r="G6">
        <f t="shared" si="2"/>
        <v>6.651869286461805</v>
      </c>
      <c r="H6">
        <f t="shared" si="3"/>
        <v>7.1454977818642913</v>
      </c>
    </row>
    <row r="7" spans="1:8" x14ac:dyDescent="0.15">
      <c r="A7">
        <v>7</v>
      </c>
      <c r="C7">
        <f t="shared" si="0"/>
        <v>8.067908368291139</v>
      </c>
      <c r="D7">
        <f t="shared" si="1"/>
        <v>7.5912511740366044</v>
      </c>
      <c r="E7">
        <v>7</v>
      </c>
      <c r="G7">
        <f t="shared" si="2"/>
        <v>6.7397036039498204</v>
      </c>
      <c r="H7">
        <f t="shared" si="3"/>
        <v>7.2317604111225888</v>
      </c>
    </row>
    <row r="8" spans="1:8" x14ac:dyDescent="0.15">
      <c r="A8">
        <v>8</v>
      </c>
      <c r="C8">
        <f t="shared" si="0"/>
        <v>8.1346600704721492</v>
      </c>
      <c r="D8">
        <f t="shared" si="1"/>
        <v>7.658347563488678</v>
      </c>
      <c r="E8">
        <v>8</v>
      </c>
      <c r="G8">
        <f t="shared" si="2"/>
        <v>6.8275379214378358</v>
      </c>
      <c r="H8">
        <f t="shared" si="3"/>
        <v>7.3180891569377753</v>
      </c>
    </row>
    <row r="9" spans="1:8" x14ac:dyDescent="0.15">
      <c r="A9">
        <v>9</v>
      </c>
      <c r="C9">
        <f t="shared" si="0"/>
        <v>8.2014117726531595</v>
      </c>
      <c r="D9">
        <f t="shared" si="1"/>
        <v>7.7254018534173188</v>
      </c>
      <c r="E9">
        <v>9</v>
      </c>
      <c r="G9">
        <f t="shared" si="2"/>
        <v>6.9153722389258503</v>
      </c>
      <c r="H9">
        <f t="shared" si="3"/>
        <v>7.4044846298644735</v>
      </c>
    </row>
    <row r="10" spans="1:8" x14ac:dyDescent="0.15">
      <c r="A10">
        <v>10</v>
      </c>
      <c r="C10">
        <f t="shared" si="0"/>
        <v>8.2681634748341697</v>
      </c>
      <c r="D10">
        <f t="shared" si="1"/>
        <v>7.7924139634936918</v>
      </c>
      <c r="E10">
        <v>10</v>
      </c>
      <c r="G10">
        <f t="shared" si="2"/>
        <v>7.0032065564138657</v>
      </c>
      <c r="H10">
        <f t="shared" si="3"/>
        <v>7.4909474204416782</v>
      </c>
    </row>
    <row r="11" spans="1:8" x14ac:dyDescent="0.15">
      <c r="A11">
        <v>11</v>
      </c>
      <c r="C11">
        <f t="shared" si="0"/>
        <v>8.3349151770151799</v>
      </c>
      <c r="D11">
        <f t="shared" si="1"/>
        <v>7.8593838244228884</v>
      </c>
      <c r="E11">
        <v>11</v>
      </c>
      <c r="G11">
        <f t="shared" si="2"/>
        <v>7.0910408739018802</v>
      </c>
      <c r="H11">
        <f t="shared" si="3"/>
        <v>7.5774780980831924</v>
      </c>
    </row>
    <row r="12" spans="1:8" x14ac:dyDescent="0.15">
      <c r="A12">
        <v>12</v>
      </c>
      <c r="C12">
        <f t="shared" si="0"/>
        <v>8.4016668791961884</v>
      </c>
      <c r="D12">
        <f t="shared" si="1"/>
        <v>7.926311378035674</v>
      </c>
      <c r="E12">
        <v>12</v>
      </c>
      <c r="G12">
        <f t="shared" si="2"/>
        <v>7.1788751913898956</v>
      </c>
      <c r="H12">
        <f t="shared" si="3"/>
        <v>7.664077209985825</v>
      </c>
    </row>
    <row r="13" spans="1:8" x14ac:dyDescent="0.15">
      <c r="A13">
        <v>13</v>
      </c>
      <c r="C13">
        <f t="shared" si="0"/>
        <v>8.4684185813771986</v>
      </c>
      <c r="D13">
        <f t="shared" si="1"/>
        <v>7.9931965773657758</v>
      </c>
      <c r="E13">
        <v>13</v>
      </c>
      <c r="G13">
        <f t="shared" si="2"/>
        <v>7.266709508877911</v>
      </c>
      <c r="H13">
        <f t="shared" si="3"/>
        <v>7.7507452800597836</v>
      </c>
    </row>
    <row r="14" spans="1:8" x14ac:dyDescent="0.15">
      <c r="A14">
        <v>14</v>
      </c>
      <c r="C14">
        <f t="shared" si="0"/>
        <v>8.5351702835582088</v>
      </c>
      <c r="D14">
        <f t="shared" si="1"/>
        <v>8.0600393867124449</v>
      </c>
      <c r="E14">
        <v>14</v>
      </c>
      <c r="G14">
        <f t="shared" si="2"/>
        <v>7.3545438263659264</v>
      </c>
      <c r="H14">
        <f t="shared" si="3"/>
        <v>7.8374828078857641</v>
      </c>
    </row>
    <row r="15" spans="1:8" x14ac:dyDescent="0.15">
      <c r="A15">
        <v>15</v>
      </c>
      <c r="C15">
        <f t="shared" si="0"/>
        <v>8.6019219857392191</v>
      </c>
      <c r="D15">
        <f t="shared" si="1"/>
        <v>8.1268397816881244</v>
      </c>
      <c r="E15">
        <v>15</v>
      </c>
      <c r="G15">
        <f t="shared" si="2"/>
        <v>7.4423781438539409</v>
      </c>
      <c r="H15">
        <f t="shared" si="3"/>
        <v>7.9242902677032241</v>
      </c>
    </row>
    <row r="16" spans="1:8" x14ac:dyDescent="0.15">
      <c r="A16">
        <v>16</v>
      </c>
      <c r="C16">
        <f t="shared" si="0"/>
        <v>8.6686736879202293</v>
      </c>
      <c r="D16">
        <f t="shared" si="1"/>
        <v>8.1935977492510599</v>
      </c>
      <c r="E16">
        <v>16</v>
      </c>
      <c r="G16">
        <f t="shared" si="2"/>
        <v>7.5302124613419563</v>
      </c>
      <c r="H16">
        <f t="shared" si="3"/>
        <v>8.0111681074343561</v>
      </c>
    </row>
    <row r="17" spans="1:8" x14ac:dyDescent="0.15">
      <c r="A17">
        <v>17</v>
      </c>
      <c r="C17">
        <f t="shared" si="0"/>
        <v>8.7354253901012378</v>
      </c>
      <c r="D17">
        <f t="shared" si="1"/>
        <v>8.2603132877227594</v>
      </c>
      <c r="E17">
        <v>17</v>
      </c>
      <c r="G17">
        <f t="shared" si="2"/>
        <v>7.6180467788299708</v>
      </c>
      <c r="H17">
        <f t="shared" si="3"/>
        <v>8.0981167477481595</v>
      </c>
    </row>
    <row r="18" spans="1:8" x14ac:dyDescent="0.15">
      <c r="A18">
        <v>18</v>
      </c>
      <c r="C18">
        <f t="shared" si="0"/>
        <v>8.802177092282248</v>
      </c>
      <c r="D18">
        <f t="shared" si="1"/>
        <v>8.3269864067902439</v>
      </c>
      <c r="E18">
        <v>18</v>
      </c>
      <c r="G18">
        <f t="shared" si="2"/>
        <v>7.7058810963179862</v>
      </c>
      <c r="H18">
        <f t="shared" si="3"/>
        <v>8.1851365811690044</v>
      </c>
    </row>
    <row r="19" spans="1:8" x14ac:dyDescent="0.15">
      <c r="A19">
        <v>19</v>
      </c>
      <c r="C19">
        <f t="shared" si="0"/>
        <v>8.8689287944632582</v>
      </c>
      <c r="D19">
        <f t="shared" si="1"/>
        <v>8.3936171274930658</v>
      </c>
      <c r="E19">
        <v>19</v>
      </c>
      <c r="G19">
        <f t="shared" si="2"/>
        <v>7.7937154138060016</v>
      </c>
      <c r="H19">
        <f t="shared" si="3"/>
        <v>8.2722279712338906</v>
      </c>
    </row>
    <row r="20" spans="1:8" x14ac:dyDescent="0.15">
      <c r="A20">
        <v>20</v>
      </c>
      <c r="C20">
        <f t="shared" si="0"/>
        <v>8.9356804966442684</v>
      </c>
      <c r="D20">
        <f t="shared" si="1"/>
        <v>8.4602054821951747</v>
      </c>
      <c r="E20">
        <v>20</v>
      </c>
      <c r="G20">
        <f t="shared" si="2"/>
        <v>7.881549731294017</v>
      </c>
      <c r="H20">
        <f t="shared" si="3"/>
        <v>8.3593912517025064</v>
      </c>
    </row>
    <row r="21" spans="1:8" x14ac:dyDescent="0.15">
      <c r="A21">
        <v>21</v>
      </c>
      <c r="C21">
        <f t="shared" si="0"/>
        <v>9.0024321988252787</v>
      </c>
      <c r="D21">
        <f t="shared" si="1"/>
        <v>8.5267515145416866</v>
      </c>
      <c r="E21">
        <v>21</v>
      </c>
      <c r="G21">
        <f t="shared" si="2"/>
        <v>7.9693840487820315</v>
      </c>
      <c r="H21">
        <f t="shared" si="3"/>
        <v>8.4466267258239487</v>
      </c>
    </row>
    <row r="22" spans="1:8" x14ac:dyDescent="0.15">
      <c r="A22">
        <v>22</v>
      </c>
      <c r="C22">
        <f t="shared" si="0"/>
        <v>9.0691839010062871</v>
      </c>
      <c r="D22">
        <f t="shared" si="1"/>
        <v>8.5932552794006885</v>
      </c>
      <c r="E22">
        <v>22</v>
      </c>
      <c r="G22">
        <f t="shared" si="2"/>
        <v>8.0572183662700461</v>
      </c>
      <c r="H22">
        <f t="shared" si="3"/>
        <v>8.5339346656638213</v>
      </c>
    </row>
    <row r="23" spans="1:8" x14ac:dyDescent="0.15">
      <c r="A23">
        <v>23</v>
      </c>
      <c r="C23">
        <f t="shared" si="0"/>
        <v>9.1359356031872974</v>
      </c>
      <c r="D23">
        <f t="shared" si="1"/>
        <v>8.6597168427902886</v>
      </c>
      <c r="E23">
        <v>23</v>
      </c>
      <c r="G23">
        <f t="shared" si="2"/>
        <v>8.1450526837580615</v>
      </c>
      <c r="H23">
        <f t="shared" si="3"/>
        <v>8.6213153114950867</v>
      </c>
    </row>
    <row r="24" spans="1:8" x14ac:dyDescent="0.15">
      <c r="A24">
        <v>24</v>
      </c>
      <c r="C24">
        <f t="shared" si="0"/>
        <v>9.2026873053683076</v>
      </c>
      <c r="D24">
        <f t="shared" si="1"/>
        <v>8.7261362817911028</v>
      </c>
      <c r="E24">
        <v>24</v>
      </c>
      <c r="G24">
        <f t="shared" si="2"/>
        <v>8.2328870012460769</v>
      </c>
      <c r="H24">
        <f t="shared" si="3"/>
        <v>8.7087688712558311</v>
      </c>
    </row>
    <row r="25" spans="1:8" x14ac:dyDescent="0.15">
      <c r="A25">
        <v>25</v>
      </c>
      <c r="C25">
        <f t="shared" si="0"/>
        <v>9.2694390075493178</v>
      </c>
      <c r="D25">
        <f t="shared" si="1"/>
        <v>8.7925136844444758</v>
      </c>
      <c r="E25">
        <v>25</v>
      </c>
      <c r="G25">
        <f t="shared" si="2"/>
        <v>8.3207213187340923</v>
      </c>
      <c r="H25">
        <f t="shared" si="3"/>
        <v>8.7962955200767485</v>
      </c>
    </row>
    <row r="26" spans="1:8" x14ac:dyDescent="0.15">
      <c r="A26">
        <v>26</v>
      </c>
      <c r="C26">
        <f t="shared" si="0"/>
        <v>9.3361907097303281</v>
      </c>
      <c r="D26">
        <f t="shared" si="1"/>
        <v>8.8588491496367254</v>
      </c>
      <c r="E26">
        <v>26</v>
      </c>
      <c r="G26">
        <f t="shared" si="2"/>
        <v>8.4085556362221077</v>
      </c>
      <c r="H26">
        <f t="shared" si="3"/>
        <v>8.8838953998808528</v>
      </c>
    </row>
    <row r="27" spans="1:8" x14ac:dyDescent="0.15">
      <c r="A27">
        <v>27</v>
      </c>
      <c r="C27">
        <f t="shared" si="0"/>
        <v>9.4029424119113383</v>
      </c>
      <c r="D27">
        <f t="shared" si="1"/>
        <v>8.9251427869697846</v>
      </c>
      <c r="E27">
        <v>27</v>
      </c>
      <c r="G27">
        <f t="shared" si="2"/>
        <v>8.4963899537101213</v>
      </c>
      <c r="H27">
        <f t="shared" si="3"/>
        <v>8.9715686190575035</v>
      </c>
    </row>
    <row r="28" spans="1:8" x14ac:dyDescent="0.15">
      <c r="A28">
        <v>28</v>
      </c>
      <c r="C28">
        <f t="shared" si="0"/>
        <v>9.4696941140923485</v>
      </c>
      <c r="D28">
        <f t="shared" si="1"/>
        <v>8.9913947166186077</v>
      </c>
      <c r="E28">
        <v>28</v>
      </c>
      <c r="G28">
        <f t="shared" si="2"/>
        <v>8.5842242711981367</v>
      </c>
      <c r="H28">
        <f t="shared" si="3"/>
        <v>9.0593152522125209</v>
      </c>
    </row>
    <row r="29" spans="1:8" x14ac:dyDescent="0.15">
      <c r="A29">
        <v>29</v>
      </c>
      <c r="C29">
        <f t="shared" si="0"/>
        <v>9.536445816273357</v>
      </c>
      <c r="D29">
        <f t="shared" si="1"/>
        <v>9.057605069175791</v>
      </c>
      <c r="E29">
        <v>29</v>
      </c>
      <c r="G29">
        <f t="shared" si="2"/>
        <v>8.6720585886861521</v>
      </c>
      <c r="H29">
        <f t="shared" si="3"/>
        <v>9.1471353399956872</v>
      </c>
    </row>
    <row r="30" spans="1:8" x14ac:dyDescent="0.15">
      <c r="A30">
        <v>30</v>
      </c>
      <c r="C30">
        <f t="shared" si="0"/>
        <v>9.6031975184543672</v>
      </c>
      <c r="D30">
        <f t="shared" si="1"/>
        <v>9.1237739854838562</v>
      </c>
      <c r="E30">
        <v>30</v>
      </c>
      <c r="G30">
        <f t="shared" si="2"/>
        <v>8.7598929061741675</v>
      </c>
      <c r="H30">
        <f t="shared" si="3"/>
        <v>9.2350288890066139</v>
      </c>
    </row>
    <row r="31" spans="1:8" x14ac:dyDescent="0.15">
      <c r="A31">
        <v>31</v>
      </c>
      <c r="C31">
        <f t="shared" si="0"/>
        <v>9.6699492206353774</v>
      </c>
      <c r="D31">
        <f t="shared" si="1"/>
        <v>9.1899016164556908</v>
      </c>
      <c r="E31">
        <v>31</v>
      </c>
      <c r="G31">
        <f t="shared" si="2"/>
        <v>8.8477272236621829</v>
      </c>
      <c r="H31">
        <f t="shared" si="3"/>
        <v>9.3229958717794439</v>
      </c>
    </row>
    <row r="32" spans="1:8" x14ac:dyDescent="0.15">
      <c r="A32">
        <v>32</v>
      </c>
      <c r="C32">
        <f t="shared" si="0"/>
        <v>9.7367009228163877</v>
      </c>
      <c r="D32">
        <f t="shared" si="1"/>
        <v>9.2559881228836751</v>
      </c>
      <c r="E32">
        <v>32</v>
      </c>
      <c r="G32">
        <f t="shared" si="2"/>
        <v>8.9355615411501983</v>
      </c>
      <c r="H32">
        <f t="shared" si="3"/>
        <v>9.4110362268464876</v>
      </c>
    </row>
    <row r="33" spans="1:8" x14ac:dyDescent="0.15">
      <c r="A33">
        <v>33</v>
      </c>
      <c r="C33">
        <f t="shared" ref="C33:C64" si="4">7.66739815520508+(A33-1)*0.0667517021810099</f>
        <v>9.8034526249973979</v>
      </c>
      <c r="D33">
        <f t="shared" ref="D33:D64" si="5">0+1*C33-0.473557915770081*(1.00641025641026+(C33-8.64515460443147)^2/49.571220742238)^0.5</f>
        <v>9.3220336752380479</v>
      </c>
      <c r="E33">
        <v>33</v>
      </c>
      <c r="G33">
        <f t="shared" ref="G33:G64" si="6">6.21269769902173+(E33-1)*0.0878343174880151</f>
        <v>9.0233958586382137</v>
      </c>
      <c r="H33">
        <f t="shared" ref="H33:H64" si="7">0+1*G33+0.473557915770081*(1.00641025641026+(G33-8.64515460443147)^2/49.571220742238)^0.5</f>
        <v>9.4991498588804433</v>
      </c>
    </row>
    <row r="34" spans="1:8" x14ac:dyDescent="0.15">
      <c r="A34">
        <v>34</v>
      </c>
      <c r="C34">
        <f t="shared" si="4"/>
        <v>9.8702043271784063</v>
      </c>
      <c r="D34">
        <f t="shared" si="5"/>
        <v>9.3880384534550529</v>
      </c>
      <c r="E34">
        <v>34</v>
      </c>
      <c r="G34">
        <f t="shared" si="6"/>
        <v>9.1112301761262273</v>
      </c>
      <c r="H34">
        <f t="shared" si="7"/>
        <v>9.5873366389144383</v>
      </c>
    </row>
    <row r="35" spans="1:8" x14ac:dyDescent="0.15">
      <c r="A35">
        <v>35</v>
      </c>
      <c r="C35">
        <f t="shared" si="4"/>
        <v>9.9369560293594166</v>
      </c>
      <c r="D35">
        <f t="shared" si="5"/>
        <v>9.4540026467155318</v>
      </c>
      <c r="E35">
        <v>35</v>
      </c>
      <c r="G35">
        <f t="shared" si="6"/>
        <v>9.1990644936142427</v>
      </c>
      <c r="H35">
        <f t="shared" si="7"/>
        <v>9.6755964046387231</v>
      </c>
    </row>
    <row r="36" spans="1:8" x14ac:dyDescent="0.15">
      <c r="A36">
        <v>36</v>
      </c>
      <c r="C36">
        <f t="shared" si="4"/>
        <v>10.003707731540427</v>
      </c>
      <c r="D36">
        <f t="shared" si="5"/>
        <v>9.5199264532144703</v>
      </c>
      <c r="E36">
        <v>36</v>
      </c>
      <c r="G36">
        <f t="shared" si="6"/>
        <v>9.2868988111022581</v>
      </c>
      <c r="H36">
        <f t="shared" si="7"/>
        <v>9.763928960772386</v>
      </c>
    </row>
    <row r="37" spans="1:8" x14ac:dyDescent="0.15">
      <c r="A37">
        <v>37</v>
      </c>
      <c r="C37">
        <f t="shared" si="4"/>
        <v>10.070459433721437</v>
      </c>
      <c r="D37">
        <f t="shared" si="5"/>
        <v>9.5858100799222381</v>
      </c>
      <c r="E37">
        <v>37</v>
      </c>
      <c r="G37">
        <f t="shared" si="6"/>
        <v>9.3747331285902735</v>
      </c>
      <c r="H37">
        <f t="shared" si="7"/>
        <v>9.8523340795081804</v>
      </c>
    </row>
    <row r="38" spans="1:8" x14ac:dyDescent="0.15">
      <c r="A38">
        <v>38</v>
      </c>
      <c r="C38">
        <f t="shared" si="4"/>
        <v>10.137211135902447</v>
      </c>
      <c r="D38">
        <f t="shared" si="5"/>
        <v>9.6516537423380768</v>
      </c>
      <c r="E38">
        <v>38</v>
      </c>
      <c r="G38">
        <f t="shared" si="6"/>
        <v>9.4625674460782889</v>
      </c>
      <c r="H38">
        <f t="shared" si="7"/>
        <v>9.9408115010280547</v>
      </c>
    </row>
    <row r="39" spans="1:8" x14ac:dyDescent="0.15">
      <c r="A39">
        <v>39</v>
      </c>
      <c r="C39">
        <f t="shared" si="4"/>
        <v>10.203962838083456</v>
      </c>
      <c r="D39">
        <f t="shared" si="5"/>
        <v>9.7174576642365302</v>
      </c>
      <c r="E39">
        <v>39</v>
      </c>
      <c r="G39">
        <f t="shared" si="6"/>
        <v>9.5504017635663025</v>
      </c>
      <c r="H39">
        <f t="shared" si="7"/>
        <v>10.029360934086737</v>
      </c>
    </row>
    <row r="40" spans="1:8" x14ac:dyDescent="0.15">
      <c r="A40">
        <v>40</v>
      </c>
      <c r="C40">
        <f t="shared" si="4"/>
        <v>10.270714540264466</v>
      </c>
      <c r="D40">
        <f t="shared" si="5"/>
        <v>9.7832220774074603</v>
      </c>
      <c r="E40">
        <v>40</v>
      </c>
      <c r="G40">
        <f t="shared" si="6"/>
        <v>9.6382360810543179</v>
      </c>
      <c r="H40">
        <f t="shared" si="7"/>
        <v>10.117982056660336</v>
      </c>
    </row>
    <row r="41" spans="1:8" x14ac:dyDescent="0.15">
      <c r="A41">
        <v>41</v>
      </c>
      <c r="C41">
        <f t="shared" si="4"/>
        <v>10.337466242445476</v>
      </c>
      <c r="D41">
        <f t="shared" si="5"/>
        <v>9.8489472213902971</v>
      </c>
      <c r="E41">
        <v>41</v>
      </c>
      <c r="G41">
        <f t="shared" si="6"/>
        <v>9.7260703985423334</v>
      </c>
      <c r="H41">
        <f t="shared" si="7"/>
        <v>10.206674516656651</v>
      </c>
    </row>
    <row r="42" spans="1:8" x14ac:dyDescent="0.15">
      <c r="A42">
        <v>42</v>
      </c>
      <c r="C42">
        <f t="shared" si="4"/>
        <v>10.404217944626486</v>
      </c>
      <c r="D42">
        <f t="shared" si="5"/>
        <v>9.9146333432032083</v>
      </c>
      <c r="E42">
        <v>42</v>
      </c>
      <c r="G42">
        <f t="shared" si="6"/>
        <v>9.8139047160303488</v>
      </c>
      <c r="H42">
        <f t="shared" si="7"/>
        <v>10.295437932683607</v>
      </c>
    </row>
    <row r="43" spans="1:8" x14ac:dyDescent="0.15">
      <c r="A43">
        <v>43</v>
      </c>
      <c r="C43">
        <f t="shared" si="4"/>
        <v>10.470969646807497</v>
      </c>
      <c r="D43">
        <f t="shared" si="5"/>
        <v>9.9802806970678191</v>
      </c>
      <c r="E43">
        <v>43</v>
      </c>
      <c r="G43">
        <f t="shared" si="6"/>
        <v>9.9017390335183642</v>
      </c>
      <c r="H43">
        <f t="shared" si="7"/>
        <v>10.38427189487202</v>
      </c>
    </row>
    <row r="44" spans="1:8" x14ac:dyDescent="0.15">
      <c r="A44">
        <v>44</v>
      </c>
      <c r="C44">
        <f t="shared" si="4"/>
        <v>10.537721348988505</v>
      </c>
      <c r="D44">
        <f t="shared" si="5"/>
        <v>10.045889544130151</v>
      </c>
      <c r="E44">
        <v>44</v>
      </c>
      <c r="G44">
        <f t="shared" si="6"/>
        <v>9.9895733510063778</v>
      </c>
      <c r="H44">
        <f t="shared" si="7"/>
        <v>10.47317596574867</v>
      </c>
    </row>
    <row r="45" spans="1:8" x14ac:dyDescent="0.15">
      <c r="A45">
        <v>45</v>
      </c>
      <c r="C45">
        <f t="shared" si="4"/>
        <v>10.604473051169515</v>
      </c>
      <c r="D45">
        <f t="shared" si="5"/>
        <v>10.111460152178442</v>
      </c>
      <c r="E45">
        <v>45</v>
      </c>
      <c r="G45">
        <f t="shared" si="6"/>
        <v>10.077407668494395</v>
      </c>
      <c r="H45">
        <f t="shared" si="7"/>
        <v>10.5621496811555</v>
      </c>
    </row>
    <row r="46" spans="1:8" x14ac:dyDescent="0.15">
      <c r="A46">
        <v>46</v>
      </c>
      <c r="C46">
        <f t="shared" si="4"/>
        <v>10.671224753350526</v>
      </c>
      <c r="D46">
        <f t="shared" si="5"/>
        <v>10.176992795358432</v>
      </c>
      <c r="E46">
        <v>46</v>
      </c>
      <c r="G46">
        <f t="shared" si="6"/>
        <v>10.165241985982409</v>
      </c>
      <c r="H46">
        <f t="shared" si="7"/>
        <v>10.65119255121062</v>
      </c>
    </row>
    <row r="47" spans="1:8" x14ac:dyDescent="0.15">
      <c r="A47">
        <v>47</v>
      </c>
      <c r="C47">
        <f t="shared" si="4"/>
        <v>10.737976455531536</v>
      </c>
      <c r="D47">
        <f t="shared" si="5"/>
        <v>10.242487753886813</v>
      </c>
      <c r="E47">
        <v>47</v>
      </c>
      <c r="G47">
        <f t="shared" si="6"/>
        <v>10.253076303470424</v>
      </c>
      <c r="H47">
        <f t="shared" si="7"/>
        <v>10.740304061306754</v>
      </c>
    </row>
    <row r="48" spans="1:8" x14ac:dyDescent="0.15">
      <c r="A48">
        <v>48</v>
      </c>
      <c r="C48">
        <f t="shared" si="4"/>
        <v>10.804728157712546</v>
      </c>
      <c r="D48">
        <f t="shared" si="5"/>
        <v>10.307945313763394</v>
      </c>
      <c r="E48">
        <v>48</v>
      </c>
      <c r="G48">
        <f t="shared" si="6"/>
        <v>10.340910620958439</v>
      </c>
      <c r="H48">
        <f t="shared" si="7"/>
        <v>10.829483673142592</v>
      </c>
    </row>
    <row r="49" spans="1:8" x14ac:dyDescent="0.15">
      <c r="A49">
        <v>49</v>
      </c>
      <c r="C49">
        <f t="shared" si="4"/>
        <v>10.871479859893554</v>
      </c>
      <c r="D49">
        <f t="shared" si="5"/>
        <v>10.373365766482618</v>
      </c>
      <c r="E49">
        <v>49</v>
      </c>
      <c r="G49">
        <f t="shared" si="6"/>
        <v>10.428744938446455</v>
      </c>
      <c r="H49">
        <f t="shared" si="7"/>
        <v>10.918730825782593</v>
      </c>
    </row>
    <row r="50" spans="1:8" x14ac:dyDescent="0.15">
      <c r="A50">
        <v>50</v>
      </c>
      <c r="C50">
        <f t="shared" si="4"/>
        <v>10.938231562074565</v>
      </c>
      <c r="D50">
        <f t="shared" si="5"/>
        <v>10.438749408744988</v>
      </c>
      <c r="E50">
        <v>50</v>
      </c>
      <c r="G50">
        <f t="shared" si="6"/>
        <v>10.51657925593447</v>
      </c>
      <c r="H50">
        <f t="shared" si="7"/>
        <v>11.008044936740717</v>
      </c>
    </row>
    <row r="51" spans="1:8" x14ac:dyDescent="0.15">
      <c r="A51">
        <v>51</v>
      </c>
      <c r="C51">
        <f t="shared" si="4"/>
        <v>11.004983264255575</v>
      </c>
      <c r="D51">
        <f t="shared" si="5"/>
        <v>10.504096542168972</v>
      </c>
      <c r="E51">
        <v>51</v>
      </c>
      <c r="G51">
        <f t="shared" si="6"/>
        <v>10.604413573422484</v>
      </c>
      <c r="H51">
        <f t="shared" si="7"/>
        <v>11.097425403083632</v>
      </c>
    </row>
    <row r="52" spans="1:8" x14ac:dyDescent="0.15">
      <c r="A52">
        <v>52</v>
      </c>
      <c r="C52">
        <f t="shared" si="4"/>
        <v>11.071734966436585</v>
      </c>
      <c r="D52">
        <f t="shared" si="5"/>
        <v>10.569407473003933</v>
      </c>
      <c r="E52">
        <v>52</v>
      </c>
      <c r="G52">
        <f t="shared" si="6"/>
        <v>10.692247890910499</v>
      </c>
      <c r="H52">
        <f t="shared" si="7"/>
        <v>11.186871602548994</v>
      </c>
    </row>
    <row r="53" spans="1:8" x14ac:dyDescent="0.15">
      <c r="A53">
        <v>53</v>
      </c>
      <c r="C53">
        <f t="shared" si="4"/>
        <v>11.138486668617595</v>
      </c>
      <c r="D53">
        <f t="shared" si="5"/>
        <v>10.634682511844588</v>
      </c>
      <c r="E53">
        <v>53</v>
      </c>
      <c r="G53">
        <f t="shared" si="6"/>
        <v>10.780082208398515</v>
      </c>
      <c r="H53">
        <f t="shared" si="7"/>
        <v>11.276382894674457</v>
      </c>
    </row>
    <row r="54" spans="1:8" x14ac:dyDescent="0.15">
      <c r="A54">
        <v>54</v>
      </c>
      <c r="C54">
        <f t="shared" si="4"/>
        <v>11.205238370798604</v>
      </c>
      <c r="D54">
        <f t="shared" si="5"/>
        <v>10.699921973347514</v>
      </c>
      <c r="E54">
        <v>54</v>
      </c>
      <c r="G54">
        <f t="shared" si="6"/>
        <v>10.86791652588653</v>
      </c>
      <c r="H54">
        <f t="shared" si="7"/>
        <v>11.365958621933261</v>
      </c>
    </row>
    <row r="55" spans="1:8" x14ac:dyDescent="0.15">
      <c r="A55">
        <v>55</v>
      </c>
      <c r="C55">
        <f t="shared" si="4"/>
        <v>11.271990072979616</v>
      </c>
      <c r="D55">
        <f t="shared" si="5"/>
        <v>10.765126175950153</v>
      </c>
      <c r="E55">
        <v>55</v>
      </c>
      <c r="G55">
        <f t="shared" si="6"/>
        <v>10.955750843374545</v>
      </c>
      <c r="H55">
        <f t="shared" si="7"/>
        <v>11.455598110872323</v>
      </c>
    </row>
    <row r="56" spans="1:8" x14ac:dyDescent="0.15">
      <c r="A56">
        <v>56</v>
      </c>
      <c r="C56">
        <f t="shared" si="4"/>
        <v>11.338741775160624</v>
      </c>
      <c r="D56">
        <f t="shared" si="5"/>
        <v>10.830295441592764</v>
      </c>
      <c r="E56">
        <v>56</v>
      </c>
      <c r="G56">
        <f t="shared" si="6"/>
        <v>11.043585160862559</v>
      </c>
      <c r="H56">
        <f t="shared" si="7"/>
        <v>11.545300673248901</v>
      </c>
    </row>
    <row r="57" spans="1:8" x14ac:dyDescent="0.15">
      <c r="A57">
        <v>57</v>
      </c>
      <c r="C57">
        <f t="shared" si="4"/>
        <v>11.405493477341635</v>
      </c>
      <c r="D57">
        <f t="shared" si="5"/>
        <v>10.895430095443791</v>
      </c>
      <c r="E57">
        <v>57</v>
      </c>
      <c r="G57">
        <f t="shared" si="6"/>
        <v>11.131419478350576</v>
      </c>
      <c r="H57">
        <f t="shared" si="7"/>
        <v>11.63506560716217</v>
      </c>
    </row>
    <row r="58" spans="1:8" x14ac:dyDescent="0.15">
      <c r="A58">
        <v>58</v>
      </c>
      <c r="C58">
        <f t="shared" si="4"/>
        <v>11.472245179522645</v>
      </c>
      <c r="D58">
        <f t="shared" si="5"/>
        <v>10.960530465628967</v>
      </c>
      <c r="E58">
        <v>58</v>
      </c>
      <c r="G58">
        <f t="shared" si="6"/>
        <v>11.21925379583859</v>
      </c>
      <c r="H58">
        <f t="shared" si="7"/>
        <v>11.724892198176113</v>
      </c>
    </row>
    <row r="59" spans="1:8" x14ac:dyDescent="0.15">
      <c r="A59">
        <v>59</v>
      </c>
      <c r="C59">
        <f t="shared" si="4"/>
        <v>11.538996881703653</v>
      </c>
      <c r="D59">
        <f t="shared" si="5"/>
        <v>11.025596882964589</v>
      </c>
      <c r="E59">
        <v>59</v>
      </c>
      <c r="G59">
        <f t="shared" si="6"/>
        <v>11.307088113326605</v>
      </c>
      <c r="H59">
        <f t="shared" si="7"/>
        <v>11.814779720430467</v>
      </c>
    </row>
    <row r="60" spans="1:8" x14ac:dyDescent="0.15">
      <c r="A60">
        <v>60</v>
      </c>
      <c r="C60">
        <f t="shared" si="4"/>
        <v>11.605748583884665</v>
      </c>
      <c r="D60">
        <f t="shared" si="5"/>
        <v>11.090629680695301</v>
      </c>
      <c r="E60">
        <v>60</v>
      </c>
      <c r="G60">
        <f t="shared" si="6"/>
        <v>11.394922430814621</v>
      </c>
      <c r="H60">
        <f t="shared" si="7"/>
        <v>11.904727437736563</v>
      </c>
    </row>
    <row r="61" spans="1:8" x14ac:dyDescent="0.15">
      <c r="A61">
        <v>61</v>
      </c>
      <c r="C61">
        <f t="shared" si="4"/>
        <v>11.672500286065674</v>
      </c>
      <c r="D61">
        <f t="shared" si="5"/>
        <v>11.155629194236662</v>
      </c>
      <c r="E61">
        <v>61</v>
      </c>
      <c r="G61">
        <f t="shared" si="6"/>
        <v>11.482756748302634</v>
      </c>
      <c r="H61">
        <f t="shared" si="7"/>
        <v>11.994734604655216</v>
      </c>
    </row>
    <row r="62" spans="1:8" x14ac:dyDescent="0.15">
      <c r="A62">
        <v>62</v>
      </c>
      <c r="C62">
        <f t="shared" si="4"/>
        <v>11.739251988246684</v>
      </c>
      <c r="D62">
        <f t="shared" si="5"/>
        <v>11.220595760922867</v>
      </c>
      <c r="E62">
        <v>62</v>
      </c>
      <c r="G62">
        <f t="shared" si="6"/>
        <v>11.570591065790651</v>
      </c>
      <c r="H62">
        <f t="shared" si="7"/>
        <v>12.084800467553988</v>
      </c>
    </row>
    <row r="63" spans="1:8" x14ac:dyDescent="0.15">
      <c r="A63">
        <v>63</v>
      </c>
      <c r="C63">
        <f t="shared" si="4"/>
        <v>11.806003690427694</v>
      </c>
      <c r="D63">
        <f t="shared" si="5"/>
        <v>11.285529719759811</v>
      </c>
      <c r="E63">
        <v>63</v>
      </c>
      <c r="G63">
        <f t="shared" si="6"/>
        <v>11.658425383278665</v>
      </c>
      <c r="H63">
        <f t="shared" si="7"/>
        <v>12.174924265641399</v>
      </c>
    </row>
    <row r="64" spans="1:8" x14ac:dyDescent="0.15">
      <c r="A64">
        <v>64</v>
      </c>
      <c r="C64">
        <f t="shared" si="4"/>
        <v>11.872755392608703</v>
      </c>
      <c r="D64">
        <f t="shared" si="5"/>
        <v>11.350431411183791</v>
      </c>
      <c r="E64">
        <v>64</v>
      </c>
      <c r="G64">
        <f t="shared" si="6"/>
        <v>11.74625970076668</v>
      </c>
      <c r="H64">
        <f t="shared" si="7"/>
        <v>12.265105231975943</v>
      </c>
    </row>
    <row r="65" spans="1:8" x14ac:dyDescent="0.15">
      <c r="A65">
        <v>65</v>
      </c>
      <c r="C65">
        <f t="shared" ref="C65:C70" si="8">7.66739815520508+(A65-1)*0.0667517021810099</f>
        <v>11.939507094789715</v>
      </c>
      <c r="D65">
        <f t="shared" ref="D65:D70" si="9">0+1*C65-0.473557915770081*(1.00641025641026+(C65-8.64515460443147)^2/49.571220742238)^0.5</f>
        <v>11.41530117682607</v>
      </c>
      <c r="E65">
        <v>65</v>
      </c>
      <c r="G65">
        <f t="shared" ref="G65:G70" si="10">6.21269769902173+(E65-1)*0.0878343174880151</f>
        <v>11.834094018254696</v>
      </c>
      <c r="H65">
        <f t="shared" ref="H65:H70" si="11">0+1*G65+0.473557915770081*(1.00641025641026+(G65-8.64515460443147)^2/49.571220742238)^0.5</f>
        <v>12.355342594447869</v>
      </c>
    </row>
    <row r="66" spans="1:8" x14ac:dyDescent="0.15">
      <c r="A66">
        <v>66</v>
      </c>
      <c r="C66">
        <f t="shared" si="8"/>
        <v>12.006258796970723</v>
      </c>
      <c r="D66">
        <f t="shared" si="9"/>
        <v>11.48013935928342</v>
      </c>
      <c r="E66">
        <v>66</v>
      </c>
      <c r="G66">
        <f t="shared" si="10"/>
        <v>11.921928335742711</v>
      </c>
      <c r="H66">
        <f t="shared" si="11"/>
        <v>12.445635576732101</v>
      </c>
    </row>
    <row r="67" spans="1:8" x14ac:dyDescent="0.15">
      <c r="A67">
        <v>67</v>
      </c>
      <c r="C67">
        <f t="shared" si="8"/>
        <v>12.073010499151733</v>
      </c>
      <c r="D67">
        <f t="shared" si="9"/>
        <v>11.544946301894944</v>
      </c>
      <c r="E67">
        <v>67</v>
      </c>
      <c r="G67">
        <f t="shared" si="10"/>
        <v>12.009762653230727</v>
      </c>
      <c r="H67">
        <f t="shared" si="11"/>
        <v>12.53598339921073</v>
      </c>
    </row>
    <row r="68" spans="1:8" x14ac:dyDescent="0.15">
      <c r="A68">
        <v>68</v>
      </c>
      <c r="C68">
        <f t="shared" si="8"/>
        <v>12.139762201332744</v>
      </c>
      <c r="D68">
        <f t="shared" si="9"/>
        <v>11.609722348525173</v>
      </c>
      <c r="E68">
        <v>68</v>
      </c>
      <c r="G68">
        <f t="shared" si="10"/>
        <v>12.09759697071874</v>
      </c>
      <c r="H68">
        <f t="shared" si="11"/>
        <v>12.626385279863813</v>
      </c>
    </row>
    <row r="69" spans="1:8" x14ac:dyDescent="0.15">
      <c r="A69">
        <v>69</v>
      </c>
      <c r="C69">
        <f t="shared" si="8"/>
        <v>12.206513903513752</v>
      </c>
      <c r="D69">
        <f t="shared" si="9"/>
        <v>11.674467843353689</v>
      </c>
      <c r="E69">
        <v>69</v>
      </c>
      <c r="G69">
        <f t="shared" si="10"/>
        <v>12.185431288206757</v>
      </c>
      <c r="H69">
        <f t="shared" si="11"/>
        <v>12.716840435127452</v>
      </c>
    </row>
    <row r="70" spans="1:8" x14ac:dyDescent="0.15">
      <c r="A70">
        <v>70</v>
      </c>
      <c r="C70">
        <f t="shared" si="8"/>
        <v>12.273265605694764</v>
      </c>
      <c r="D70">
        <f t="shared" si="9"/>
        <v>11.739183130671313</v>
      </c>
      <c r="E70">
        <v>70</v>
      </c>
      <c r="G70">
        <f t="shared" si="10"/>
        <v>12.273265605694771</v>
      </c>
      <c r="H70">
        <f t="shared" si="11"/>
        <v>12.807348080718223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XLSTAT_20211101_192432_1">
    <tabColor rgb="FF007800"/>
  </sheetPr>
  <dimension ref="B1:M314"/>
  <sheetViews>
    <sheetView topLeftCell="A51" zoomScaleNormal="100" workbookViewId="0">
      <selection activeCell="C70" sqref="C70"/>
    </sheetView>
  </sheetViews>
  <sheetFormatPr baseColWidth="10" defaultRowHeight="13" x14ac:dyDescent="0.15"/>
  <cols>
    <col min="1" max="1" width="5.83203125" customWidth="1"/>
  </cols>
  <sheetData>
    <row r="1" spans="2:9" x14ac:dyDescent="0.15">
      <c r="B1" t="s">
        <v>443</v>
      </c>
    </row>
    <row r="2" spans="2:9" x14ac:dyDescent="0.15">
      <c r="B2" t="s">
        <v>433</v>
      </c>
    </row>
    <row r="3" spans="2:9" x14ac:dyDescent="0.15">
      <c r="B3" t="s">
        <v>182</v>
      </c>
    </row>
    <row r="4" spans="2:9" x14ac:dyDescent="0.15">
      <c r="B4" t="s">
        <v>183</v>
      </c>
    </row>
    <row r="5" spans="2:9" x14ac:dyDescent="0.15">
      <c r="B5" t="s">
        <v>184</v>
      </c>
    </row>
    <row r="6" spans="2:9" ht="34.25" customHeight="1" x14ac:dyDescent="0.15"/>
    <row r="7" spans="2:9" ht="21" customHeight="1" x14ac:dyDescent="0.15">
      <c r="B7" s="4"/>
    </row>
    <row r="10" spans="2:9" x14ac:dyDescent="0.15">
      <c r="B10" s="4" t="s">
        <v>185</v>
      </c>
    </row>
    <row r="11" spans="2:9" ht="14" thickBot="1" x14ac:dyDescent="0.2"/>
    <row r="12" spans="2:9" ht="28" x14ac:dyDescent="0.15">
      <c r="B12" s="10" t="s">
        <v>186</v>
      </c>
      <c r="C12" s="11" t="s">
        <v>187</v>
      </c>
      <c r="D12" s="11" t="s">
        <v>188</v>
      </c>
      <c r="E12" s="11" t="s">
        <v>189</v>
      </c>
      <c r="F12" s="11" t="s">
        <v>190</v>
      </c>
      <c r="G12" s="11" t="s">
        <v>191</v>
      </c>
      <c r="H12" s="11" t="s">
        <v>192</v>
      </c>
      <c r="I12" s="11" t="s">
        <v>193</v>
      </c>
    </row>
    <row r="13" spans="2:9" x14ac:dyDescent="0.15">
      <c r="B13" s="12" t="s">
        <v>177</v>
      </c>
      <c r="C13" s="14">
        <v>156</v>
      </c>
      <c r="D13" s="14">
        <v>0</v>
      </c>
      <c r="E13" s="14">
        <v>156</v>
      </c>
      <c r="F13" s="17">
        <v>8.3238511313388166</v>
      </c>
      <c r="G13" s="17">
        <v>11.313071102883967</v>
      </c>
      <c r="H13" s="17">
        <v>9.1927362236967234</v>
      </c>
      <c r="I13" s="17">
        <v>0.64129783531503315</v>
      </c>
    </row>
    <row r="14" spans="2:9" x14ac:dyDescent="0.15">
      <c r="B14" s="9" t="s">
        <v>169</v>
      </c>
      <c r="C14" s="15">
        <v>156</v>
      </c>
      <c r="D14" s="15">
        <v>0</v>
      </c>
      <c r="E14" s="15">
        <v>156</v>
      </c>
      <c r="F14" s="18">
        <v>1.2697605448639391</v>
      </c>
      <c r="G14" s="18">
        <v>1.7900914121273581</v>
      </c>
      <c r="H14" s="18">
        <v>1.6815474706308642</v>
      </c>
      <c r="I14" s="18">
        <v>0.10972903254880841</v>
      </c>
    </row>
    <row r="15" spans="2:9" x14ac:dyDescent="0.15">
      <c r="B15" s="9" t="s">
        <v>172</v>
      </c>
      <c r="C15" s="15">
        <v>156</v>
      </c>
      <c r="D15" s="15">
        <v>0</v>
      </c>
      <c r="E15" s="15">
        <v>156</v>
      </c>
      <c r="F15" s="18">
        <v>0.95551144502743635</v>
      </c>
      <c r="G15" s="18">
        <v>1.8389610707123492</v>
      </c>
      <c r="H15" s="18">
        <v>1.6373149418496353</v>
      </c>
      <c r="I15" s="18">
        <v>0.16067138311417037</v>
      </c>
    </row>
    <row r="16" spans="2:9" x14ac:dyDescent="0.15">
      <c r="B16" s="9" t="s">
        <v>174</v>
      </c>
      <c r="C16" s="15">
        <v>156</v>
      </c>
      <c r="D16" s="15">
        <v>0</v>
      </c>
      <c r="E16" s="15">
        <v>156</v>
      </c>
      <c r="F16" s="18">
        <v>0.51282362642866375</v>
      </c>
      <c r="G16" s="18">
        <v>1.2697605448639391</v>
      </c>
      <c r="H16" s="18">
        <v>0.98958105793969375</v>
      </c>
      <c r="I16" s="18">
        <v>0.13885612952641049</v>
      </c>
    </row>
    <row r="17" spans="2:9" x14ac:dyDescent="0.15">
      <c r="B17" s="9" t="s">
        <v>176</v>
      </c>
      <c r="C17" s="15">
        <v>156</v>
      </c>
      <c r="D17" s="15">
        <v>0</v>
      </c>
      <c r="E17" s="15">
        <v>156</v>
      </c>
      <c r="F17" s="18">
        <v>0.79750719588418817</v>
      </c>
      <c r="G17" s="18">
        <v>1.4906543764441336</v>
      </c>
      <c r="H17" s="18">
        <v>1.3504303899660413</v>
      </c>
      <c r="I17" s="18">
        <v>0.16707255202732604</v>
      </c>
    </row>
    <row r="18" spans="2:9" x14ac:dyDescent="0.15">
      <c r="B18" s="9" t="s">
        <v>178</v>
      </c>
      <c r="C18" s="15">
        <v>156</v>
      </c>
      <c r="D18" s="15">
        <v>0</v>
      </c>
      <c r="E18" s="15">
        <v>156</v>
      </c>
      <c r="F18" s="18">
        <v>0.86710048768338333</v>
      </c>
      <c r="G18" s="18">
        <v>1.6074359097634274</v>
      </c>
      <c r="H18" s="18">
        <v>1.3893426950776187</v>
      </c>
      <c r="I18" s="18">
        <v>0.14655049570642012</v>
      </c>
    </row>
    <row r="19" spans="2:9" ht="14" thickBot="1" x14ac:dyDescent="0.2">
      <c r="B19" s="13" t="s">
        <v>180</v>
      </c>
      <c r="C19" s="16">
        <v>156</v>
      </c>
      <c r="D19" s="16">
        <v>0</v>
      </c>
      <c r="E19" s="16">
        <v>156</v>
      </c>
      <c r="F19" s="19">
        <v>0.62593843086649537</v>
      </c>
      <c r="G19" s="19">
        <v>1.0986122886681098</v>
      </c>
      <c r="H19" s="19">
        <v>0.95585774489534447</v>
      </c>
      <c r="I19" s="19">
        <v>0.12442606208269026</v>
      </c>
    </row>
    <row r="22" spans="2:9" x14ac:dyDescent="0.15">
      <c r="B22" s="4" t="s">
        <v>194</v>
      </c>
    </row>
    <row r="23" spans="2:9" ht="14" thickBot="1" x14ac:dyDescent="0.2"/>
    <row r="24" spans="2:9" ht="28" x14ac:dyDescent="0.15">
      <c r="B24" s="10"/>
      <c r="C24" s="11" t="s">
        <v>169</v>
      </c>
      <c r="D24" s="11" t="s">
        <v>172</v>
      </c>
      <c r="E24" s="11" t="s">
        <v>174</v>
      </c>
      <c r="F24" s="11" t="s">
        <v>176</v>
      </c>
      <c r="G24" s="11" t="s">
        <v>178</v>
      </c>
      <c r="H24" s="11" t="s">
        <v>180</v>
      </c>
      <c r="I24" s="20" t="s">
        <v>177</v>
      </c>
    </row>
    <row r="25" spans="2:9" x14ac:dyDescent="0.15">
      <c r="B25" s="21" t="s">
        <v>169</v>
      </c>
      <c r="C25" s="27">
        <v>1</v>
      </c>
      <c r="D25" s="23">
        <v>-1.5875315508602807E-2</v>
      </c>
      <c r="E25" s="23">
        <v>0.30280790412706204</v>
      </c>
      <c r="F25" s="23">
        <v>0.11528187100139364</v>
      </c>
      <c r="G25" s="23">
        <v>0.10593256600628163</v>
      </c>
      <c r="H25" s="23">
        <v>0.26312060057623965</v>
      </c>
      <c r="I25" s="24">
        <v>-5.0932338179191404E-3</v>
      </c>
    </row>
    <row r="26" spans="2:9" x14ac:dyDescent="0.15">
      <c r="B26" s="9" t="s">
        <v>172</v>
      </c>
      <c r="C26" s="18">
        <v>-1.5875315508602807E-2</v>
      </c>
      <c r="D26" s="2">
        <v>1</v>
      </c>
      <c r="E26" s="18">
        <v>2.5661954373896949E-2</v>
      </c>
      <c r="F26" s="18">
        <v>2.690850432760741E-2</v>
      </c>
      <c r="G26" s="18">
        <v>7.7924085921378214E-2</v>
      </c>
      <c r="H26" s="18">
        <v>0.20281919970093448</v>
      </c>
      <c r="I26" s="25">
        <v>-7.385678262099335E-2</v>
      </c>
    </row>
    <row r="27" spans="2:9" x14ac:dyDescent="0.15">
      <c r="B27" s="9" t="s">
        <v>174</v>
      </c>
      <c r="C27" s="18">
        <v>0.30280790412706204</v>
      </c>
      <c r="D27" s="18">
        <v>2.5661954373896949E-2</v>
      </c>
      <c r="E27" s="2">
        <v>1</v>
      </c>
      <c r="F27" s="18">
        <v>-6.9728324283180224E-2</v>
      </c>
      <c r="G27" s="18">
        <v>-6.9512189983491582E-2</v>
      </c>
      <c r="H27" s="18">
        <v>0.19184387522268667</v>
      </c>
      <c r="I27" s="25">
        <v>0.1765957556977778</v>
      </c>
    </row>
    <row r="28" spans="2:9" x14ac:dyDescent="0.15">
      <c r="B28" s="9" t="s">
        <v>176</v>
      </c>
      <c r="C28" s="18">
        <v>0.11528187100139364</v>
      </c>
      <c r="D28" s="18">
        <v>2.690850432760741E-2</v>
      </c>
      <c r="E28" s="18">
        <v>-6.9728324283180224E-2</v>
      </c>
      <c r="F28" s="2">
        <v>1</v>
      </c>
      <c r="G28" s="18">
        <v>5.8766758472414372E-4</v>
      </c>
      <c r="H28" s="18">
        <v>-2.5518683079415367E-2</v>
      </c>
      <c r="I28" s="25">
        <v>4.7668459104752404E-2</v>
      </c>
    </row>
    <row r="29" spans="2:9" x14ac:dyDescent="0.15">
      <c r="B29" s="9" t="s">
        <v>178</v>
      </c>
      <c r="C29" s="18">
        <v>0.10593256600628163</v>
      </c>
      <c r="D29" s="18">
        <v>7.7924085921378214E-2</v>
      </c>
      <c r="E29" s="18">
        <v>-6.9512189983491582E-2</v>
      </c>
      <c r="F29" s="18">
        <v>5.8766758472414372E-4</v>
      </c>
      <c r="G29" s="2">
        <v>1</v>
      </c>
      <c r="H29" s="18">
        <v>4.2788420832566912E-2</v>
      </c>
      <c r="I29" s="25">
        <v>-0.84486840647402528</v>
      </c>
    </row>
    <row r="30" spans="2:9" x14ac:dyDescent="0.15">
      <c r="B30" s="9" t="s">
        <v>180</v>
      </c>
      <c r="C30" s="18">
        <v>0.26312060057623965</v>
      </c>
      <c r="D30" s="18">
        <v>0.20281919970093448</v>
      </c>
      <c r="E30" s="18">
        <v>0.19184387522268667</v>
      </c>
      <c r="F30" s="18">
        <v>-2.5518683079415367E-2</v>
      </c>
      <c r="G30" s="18">
        <v>4.2788420832566912E-2</v>
      </c>
      <c r="H30" s="2">
        <v>1</v>
      </c>
      <c r="I30" s="25">
        <v>4.423178607831596E-2</v>
      </c>
    </row>
    <row r="31" spans="2:9" ht="14" thickBot="1" x14ac:dyDescent="0.2">
      <c r="B31" s="22" t="s">
        <v>177</v>
      </c>
      <c r="C31" s="26">
        <v>-5.0932338179191404E-3</v>
      </c>
      <c r="D31" s="26">
        <v>-7.385678262099335E-2</v>
      </c>
      <c r="E31" s="26">
        <v>0.1765957556977778</v>
      </c>
      <c r="F31" s="26">
        <v>4.7668459104752404E-2</v>
      </c>
      <c r="G31" s="26">
        <v>-0.84486840647402528</v>
      </c>
      <c r="H31" s="26">
        <v>4.423178607831596E-2</v>
      </c>
      <c r="I31" s="28">
        <v>1</v>
      </c>
    </row>
    <row r="34" spans="2:3" x14ac:dyDescent="0.15">
      <c r="B34" s="8" t="s">
        <v>434</v>
      </c>
    </row>
    <row r="36" spans="2:3" x14ac:dyDescent="0.15">
      <c r="B36" s="4" t="s">
        <v>435</v>
      </c>
    </row>
    <row r="37" spans="2:3" ht="14" thickBot="1" x14ac:dyDescent="0.2"/>
    <row r="38" spans="2:3" x14ac:dyDescent="0.15">
      <c r="B38" s="29" t="s">
        <v>187</v>
      </c>
      <c r="C38" s="30">
        <v>156</v>
      </c>
    </row>
    <row r="39" spans="2:3" x14ac:dyDescent="0.15">
      <c r="B39" s="9" t="s">
        <v>197</v>
      </c>
      <c r="C39" s="15">
        <v>156</v>
      </c>
    </row>
    <row r="40" spans="2:3" x14ac:dyDescent="0.15">
      <c r="B40" s="9" t="s">
        <v>198</v>
      </c>
      <c r="C40" s="15">
        <v>149</v>
      </c>
    </row>
    <row r="41" spans="2:3" x14ac:dyDescent="0.15">
      <c r="B41" s="9" t="s">
        <v>199</v>
      </c>
      <c r="C41" s="18">
        <v>0.73592903375743335</v>
      </c>
    </row>
    <row r="42" spans="2:3" x14ac:dyDescent="0.15">
      <c r="B42" s="9" t="s">
        <v>200</v>
      </c>
      <c r="C42" s="18">
        <v>0.72529530357316896</v>
      </c>
    </row>
    <row r="43" spans="2:3" x14ac:dyDescent="0.15">
      <c r="B43" s="9" t="s">
        <v>201</v>
      </c>
      <c r="C43" s="18">
        <v>0.11297585382653857</v>
      </c>
    </row>
    <row r="44" spans="2:3" x14ac:dyDescent="0.15">
      <c r="B44" s="9" t="s">
        <v>202</v>
      </c>
      <c r="C44" s="18">
        <v>0.33611880909365749</v>
      </c>
    </row>
    <row r="45" spans="2:3" x14ac:dyDescent="0.15">
      <c r="B45" s="9" t="s">
        <v>203</v>
      </c>
      <c r="C45" s="18">
        <v>2.2634419598414151</v>
      </c>
    </row>
    <row r="46" spans="2:3" x14ac:dyDescent="0.15">
      <c r="B46" s="9" t="s">
        <v>204</v>
      </c>
      <c r="C46" s="18">
        <v>1.7247130473042125</v>
      </c>
    </row>
    <row r="47" spans="2:3" x14ac:dyDescent="0.15">
      <c r="B47" s="9" t="s">
        <v>205</v>
      </c>
      <c r="C47" s="18">
        <v>7</v>
      </c>
    </row>
    <row r="48" spans="2:3" x14ac:dyDescent="0.15">
      <c r="B48" s="9" t="s">
        <v>206</v>
      </c>
      <c r="C48" s="18">
        <v>-333.33257530789717</v>
      </c>
    </row>
    <row r="49" spans="2:8" x14ac:dyDescent="0.15">
      <c r="B49" s="9" t="s">
        <v>207</v>
      </c>
      <c r="C49" s="18">
        <v>-311.98358325715043</v>
      </c>
    </row>
    <row r="50" spans="2:8" ht="14" thickBot="1" x14ac:dyDescent="0.2">
      <c r="B50" s="13" t="s">
        <v>208</v>
      </c>
      <c r="C50" s="19">
        <v>0.28888300333918365</v>
      </c>
    </row>
    <row r="53" spans="2:8" x14ac:dyDescent="0.15">
      <c r="B53" s="4" t="s">
        <v>436</v>
      </c>
    </row>
    <row r="54" spans="2:8" ht="14" thickBot="1" x14ac:dyDescent="0.2"/>
    <row r="55" spans="2:8" ht="28" x14ac:dyDescent="0.15">
      <c r="B55" s="10" t="s">
        <v>210</v>
      </c>
      <c r="C55" s="11" t="s">
        <v>198</v>
      </c>
      <c r="D55" s="11" t="s">
        <v>211</v>
      </c>
      <c r="E55" s="11" t="s">
        <v>212</v>
      </c>
      <c r="F55" s="11" t="s">
        <v>213</v>
      </c>
      <c r="G55" s="11" t="s">
        <v>214</v>
      </c>
    </row>
    <row r="56" spans="2:8" x14ac:dyDescent="0.15">
      <c r="B56" s="21" t="s">
        <v>215</v>
      </c>
      <c r="C56" s="31">
        <v>6</v>
      </c>
      <c r="D56" s="23">
        <v>46.912349384706594</v>
      </c>
      <c r="E56" s="23">
        <v>7.8187248974510988</v>
      </c>
      <c r="F56" s="23">
        <v>69.207044095067005</v>
      </c>
      <c r="G56" s="35">
        <v>1.3078767834284739E-40</v>
      </c>
    </row>
    <row r="57" spans="2:8" x14ac:dyDescent="0.15">
      <c r="B57" s="9" t="s">
        <v>216</v>
      </c>
      <c r="C57" s="15">
        <v>149</v>
      </c>
      <c r="D57" s="18">
        <v>16.833402220154248</v>
      </c>
      <c r="E57" s="18">
        <v>0.11297585382653857</v>
      </c>
      <c r="F57" s="18"/>
      <c r="G57" s="36"/>
    </row>
    <row r="58" spans="2:8" ht="14" thickBot="1" x14ac:dyDescent="0.2">
      <c r="B58" s="13" t="s">
        <v>217</v>
      </c>
      <c r="C58" s="16">
        <v>155</v>
      </c>
      <c r="D58" s="19">
        <v>63.745751604860843</v>
      </c>
      <c r="E58" s="19"/>
      <c r="F58" s="19"/>
      <c r="G58" s="37"/>
    </row>
    <row r="59" spans="2:8" x14ac:dyDescent="0.15">
      <c r="B59" s="38" t="s">
        <v>218</v>
      </c>
    </row>
    <row r="62" spans="2:8" x14ac:dyDescent="0.15">
      <c r="B62" s="4" t="s">
        <v>437</v>
      </c>
    </row>
    <row r="63" spans="2:8" ht="14" thickBot="1" x14ac:dyDescent="0.2"/>
    <row r="64" spans="2:8" ht="26" customHeight="1" x14ac:dyDescent="0.15">
      <c r="B64" s="41" t="s">
        <v>210</v>
      </c>
      <c r="C64" s="42" t="s">
        <v>220</v>
      </c>
      <c r="D64" s="42" t="s">
        <v>221</v>
      </c>
      <c r="E64" s="42" t="s">
        <v>222</v>
      </c>
      <c r="F64" s="42" t="s">
        <v>223</v>
      </c>
      <c r="G64" s="42" t="s">
        <v>224</v>
      </c>
      <c r="H64" s="42" t="s">
        <v>225</v>
      </c>
    </row>
    <row r="65" spans="2:8" x14ac:dyDescent="0.15">
      <c r="B65" s="43" t="s">
        <v>226</v>
      </c>
      <c r="C65" s="44">
        <v>13.12564410829745</v>
      </c>
      <c r="D65" s="44">
        <v>0.57264334472838396</v>
      </c>
      <c r="E65" s="44">
        <v>22.921150187335545</v>
      </c>
      <c r="F65" s="45">
        <v>1.0400209380094488E-50</v>
      </c>
      <c r="G65" s="44">
        <v>11.994093312998151</v>
      </c>
      <c r="H65" s="44">
        <v>14.25719490359675</v>
      </c>
    </row>
    <row r="66" spans="2:8" x14ac:dyDescent="0.15">
      <c r="B66" s="46" t="s">
        <v>169</v>
      </c>
      <c r="C66" s="47">
        <v>0.18269291613837865</v>
      </c>
      <c r="D66" s="47">
        <v>0.27081572274265181</v>
      </c>
      <c r="E66" s="47">
        <v>0.6746023247401568</v>
      </c>
      <c r="F66" s="49">
        <v>0.50097382500104404</v>
      </c>
      <c r="G66" s="47">
        <v>-0.35244252072652271</v>
      </c>
      <c r="H66" s="47">
        <v>0.71782835300328007</v>
      </c>
    </row>
    <row r="67" spans="2:8" x14ac:dyDescent="0.15">
      <c r="B67" s="46" t="s">
        <v>172</v>
      </c>
      <c r="C67" s="47">
        <v>-9.4700314494777268E-2</v>
      </c>
      <c r="D67" s="47">
        <v>0.17278971353487019</v>
      </c>
      <c r="E67" s="47">
        <v>-0.54806685280872391</v>
      </c>
      <c r="F67" s="49">
        <v>0.58446615519841139</v>
      </c>
      <c r="G67" s="47">
        <v>-0.43613506540882058</v>
      </c>
      <c r="H67" s="47">
        <v>0.24673443641926601</v>
      </c>
    </row>
    <row r="68" spans="2:8" x14ac:dyDescent="0.15">
      <c r="B68" s="46" t="s">
        <v>174</v>
      </c>
      <c r="C68" s="47">
        <v>0.46975498492385287</v>
      </c>
      <c r="D68" s="47">
        <v>0.20801180313998421</v>
      </c>
      <c r="E68" s="47">
        <v>2.2583092778044196</v>
      </c>
      <c r="F68" s="48">
        <v>2.537853180659555E-2</v>
      </c>
      <c r="G68" s="47">
        <v>5.8720920804354926E-2</v>
      </c>
      <c r="H68" s="47">
        <v>0.88078904904335076</v>
      </c>
    </row>
    <row r="69" spans="2:8" x14ac:dyDescent="0.15">
      <c r="B69" s="46" t="s">
        <v>176</v>
      </c>
      <c r="C69" s="47">
        <v>0.20646238304660053</v>
      </c>
      <c r="D69" s="47">
        <v>0.16405974879058377</v>
      </c>
      <c r="E69" s="47">
        <v>1.2584584858175185</v>
      </c>
      <c r="F69" s="49">
        <v>0.21019432275797856</v>
      </c>
      <c r="G69" s="47">
        <v>-0.11772184249197076</v>
      </c>
      <c r="H69" s="47">
        <v>0.53064660858517176</v>
      </c>
    </row>
    <row r="70" spans="2:8" x14ac:dyDescent="0.15">
      <c r="B70" s="46" t="s">
        <v>178</v>
      </c>
      <c r="C70" s="47">
        <v>-3.683692756597039</v>
      </c>
      <c r="D70" s="47">
        <v>0.18707499970483776</v>
      </c>
      <c r="E70" s="47">
        <v>-19.690994319973683</v>
      </c>
      <c r="F70" s="48">
        <v>0</v>
      </c>
      <c r="G70" s="47">
        <v>-4.0533554212299991</v>
      </c>
      <c r="H70" s="47">
        <v>-3.3140300919640788</v>
      </c>
    </row>
    <row r="71" spans="2:8" ht="14" thickBot="1" x14ac:dyDescent="0.2">
      <c r="B71" s="50" t="s">
        <v>180</v>
      </c>
      <c r="C71" s="51">
        <v>0.30253189526703694</v>
      </c>
      <c r="D71" s="51">
        <v>0.23223073390422033</v>
      </c>
      <c r="E71" s="51">
        <v>1.3027211781185308</v>
      </c>
      <c r="F71" s="52">
        <v>0.19467978585099655</v>
      </c>
      <c r="G71" s="51">
        <v>-0.15635909519213365</v>
      </c>
      <c r="H71" s="51">
        <v>0.76142288572620753</v>
      </c>
    </row>
    <row r="74" spans="2:8" x14ac:dyDescent="0.15">
      <c r="B74" s="4" t="s">
        <v>438</v>
      </c>
    </row>
    <row r="76" spans="2:8" x14ac:dyDescent="0.15">
      <c r="B76" t="s">
        <v>439</v>
      </c>
    </row>
    <row r="79" spans="2:8" x14ac:dyDescent="0.15">
      <c r="B79" s="4" t="s">
        <v>440</v>
      </c>
    </row>
    <row r="80" spans="2:8" ht="14" thickBot="1" x14ac:dyDescent="0.2"/>
    <row r="81" spans="2:8" ht="26" customHeight="1" x14ac:dyDescent="0.15">
      <c r="B81" s="10" t="s">
        <v>210</v>
      </c>
      <c r="C81" s="11" t="s">
        <v>220</v>
      </c>
      <c r="D81" s="11" t="s">
        <v>221</v>
      </c>
      <c r="E81" s="11" t="s">
        <v>222</v>
      </c>
      <c r="F81" s="11" t="s">
        <v>223</v>
      </c>
      <c r="G81" s="11" t="s">
        <v>224</v>
      </c>
      <c r="H81" s="11" t="s">
        <v>225</v>
      </c>
    </row>
    <row r="82" spans="2:8" x14ac:dyDescent="0.15">
      <c r="B82" s="21" t="s">
        <v>169</v>
      </c>
      <c r="C82" s="23">
        <v>3.1259604878499339E-2</v>
      </c>
      <c r="D82" s="23">
        <v>4.6337825607908945E-2</v>
      </c>
      <c r="E82" s="23">
        <v>0.67460232474015669</v>
      </c>
      <c r="F82" s="32">
        <v>0.50097382500104404</v>
      </c>
      <c r="G82" s="23">
        <v>-6.0304549148192221E-2</v>
      </c>
      <c r="H82" s="23">
        <v>0.1228237589051909</v>
      </c>
    </row>
    <row r="83" spans="2:8" x14ac:dyDescent="0.15">
      <c r="B83" s="9" t="s">
        <v>172</v>
      </c>
      <c r="C83" s="18">
        <v>-2.372630885889114E-2</v>
      </c>
      <c r="D83" s="18">
        <v>4.32909028110329E-2</v>
      </c>
      <c r="E83" s="18">
        <v>-0.54806685280872391</v>
      </c>
      <c r="F83" s="33">
        <v>0.58446615519841139</v>
      </c>
      <c r="G83" s="18">
        <v>-0.10926970328755405</v>
      </c>
      <c r="H83" s="18">
        <v>6.1817085569771765E-2</v>
      </c>
    </row>
    <row r="84" spans="2:8" x14ac:dyDescent="0.15">
      <c r="B84" s="9" t="s">
        <v>174</v>
      </c>
      <c r="C84" s="18">
        <v>0.10171305038043757</v>
      </c>
      <c r="D84" s="18">
        <v>4.5039468854029298E-2</v>
      </c>
      <c r="E84" s="18">
        <v>2.25830927780442</v>
      </c>
      <c r="F84" s="36">
        <v>2.537853180659555E-2</v>
      </c>
      <c r="G84" s="18">
        <v>1.2714466408753941E-2</v>
      </c>
      <c r="H84" s="18">
        <v>0.19071163435212118</v>
      </c>
    </row>
    <row r="85" spans="2:8" x14ac:dyDescent="0.15">
      <c r="B85" s="9" t="s">
        <v>176</v>
      </c>
      <c r="C85" s="18">
        <v>5.3788108011145641E-2</v>
      </c>
      <c r="D85" s="18">
        <v>4.27412652998274E-2</v>
      </c>
      <c r="E85" s="18">
        <v>1.2584584858175187</v>
      </c>
      <c r="F85" s="33">
        <v>0.21019432275797856</v>
      </c>
      <c r="G85" s="18">
        <v>-3.0669195452422901E-2</v>
      </c>
      <c r="H85" s="18">
        <v>0.1382454114747142</v>
      </c>
    </row>
    <row r="86" spans="2:8" x14ac:dyDescent="0.15">
      <c r="B86" s="9" t="s">
        <v>178</v>
      </c>
      <c r="C86" s="18">
        <v>-0.84180386987311306</v>
      </c>
      <c r="D86" s="18">
        <v>4.2750704011895631E-2</v>
      </c>
      <c r="E86" s="18">
        <v>-19.690994319973683</v>
      </c>
      <c r="F86" s="36">
        <v>0</v>
      </c>
      <c r="G86" s="18">
        <v>-0.92627982435610889</v>
      </c>
      <c r="H86" s="18">
        <v>-0.75732791539011723</v>
      </c>
    </row>
    <row r="87" spans="2:8" ht="14" thickBot="1" x14ac:dyDescent="0.2">
      <c r="B87" s="13" t="s">
        <v>180</v>
      </c>
      <c r="C87" s="19">
        <v>5.8697925222215196E-2</v>
      </c>
      <c r="D87" s="19">
        <v>4.5057934274923134E-2</v>
      </c>
      <c r="E87" s="19">
        <v>1.3027211781185308</v>
      </c>
      <c r="F87" s="34">
        <v>0.19467978585099655</v>
      </c>
      <c r="G87" s="19">
        <v>-3.0337146664486232E-2</v>
      </c>
      <c r="H87" s="19">
        <v>0.14773299710891663</v>
      </c>
    </row>
    <row r="109" spans="2:6" x14ac:dyDescent="0.15">
      <c r="F109" t="s">
        <v>230</v>
      </c>
    </row>
    <row r="112" spans="2:6" x14ac:dyDescent="0.15">
      <c r="B112" s="4" t="s">
        <v>441</v>
      </c>
    </row>
    <row r="113" spans="2:13" ht="14" thickBot="1" x14ac:dyDescent="0.2"/>
    <row r="114" spans="2:13" ht="56" x14ac:dyDescent="0.15">
      <c r="B114" s="10" t="s">
        <v>232</v>
      </c>
      <c r="C114" s="11" t="s">
        <v>233</v>
      </c>
      <c r="D114" s="11" t="s">
        <v>177</v>
      </c>
      <c r="E114" s="11" t="s">
        <v>442</v>
      </c>
      <c r="F114" s="11" t="s">
        <v>391</v>
      </c>
      <c r="G114" s="11" t="s">
        <v>392</v>
      </c>
      <c r="H114" s="11" t="s">
        <v>393</v>
      </c>
      <c r="I114" s="11" t="s">
        <v>394</v>
      </c>
      <c r="J114" s="11" t="s">
        <v>395</v>
      </c>
      <c r="K114" s="11" t="s">
        <v>396</v>
      </c>
      <c r="L114" s="11" t="s">
        <v>397</v>
      </c>
      <c r="M114" s="11" t="s">
        <v>398</v>
      </c>
    </row>
    <row r="115" spans="2:13" x14ac:dyDescent="0.15">
      <c r="B115" s="21" t="s">
        <v>234</v>
      </c>
      <c r="C115" s="31">
        <v>1</v>
      </c>
      <c r="D115" s="23">
        <v>9.1575723064375278</v>
      </c>
      <c r="E115" s="23">
        <v>9.1421923820469626</v>
      </c>
      <c r="F115" s="23">
        <v>1.5379924390565236E-2</v>
      </c>
      <c r="G115" s="23">
        <v>4.5757404746366671E-2</v>
      </c>
      <c r="H115" s="23">
        <v>4.2837138045780453E-2</v>
      </c>
      <c r="I115" s="23">
        <v>9.0575456327740103</v>
      </c>
      <c r="J115" s="23">
        <v>9.226839131319915</v>
      </c>
      <c r="K115" s="23">
        <v>0.33883753366841141</v>
      </c>
      <c r="L115" s="23">
        <v>8.4726449504224775</v>
      </c>
      <c r="M115" s="23">
        <v>9.8117398136714478</v>
      </c>
    </row>
    <row r="116" spans="2:13" x14ac:dyDescent="0.15">
      <c r="B116" s="9" t="s">
        <v>235</v>
      </c>
      <c r="C116" s="15">
        <v>1</v>
      </c>
      <c r="D116" s="18">
        <v>8.9159693113736047</v>
      </c>
      <c r="E116" s="18">
        <v>9.1311691895597491</v>
      </c>
      <c r="F116" s="18">
        <v>-0.21519987818614439</v>
      </c>
      <c r="G116" s="18">
        <v>-0.64024943669897461</v>
      </c>
      <c r="H116" s="18">
        <v>4.1476756235540695E-2</v>
      </c>
      <c r="I116" s="18">
        <v>9.0492105726705176</v>
      </c>
      <c r="J116" s="18">
        <v>9.2131278064489806</v>
      </c>
      <c r="K116" s="18">
        <v>0.33866823756349079</v>
      </c>
      <c r="L116" s="18">
        <v>8.4619562892695193</v>
      </c>
      <c r="M116" s="18">
        <v>9.8003820898499789</v>
      </c>
    </row>
    <row r="117" spans="2:13" x14ac:dyDescent="0.15">
      <c r="B117" s="9" t="s">
        <v>236</v>
      </c>
      <c r="C117" s="15">
        <v>1</v>
      </c>
      <c r="D117" s="18">
        <v>8.9998662237626359</v>
      </c>
      <c r="E117" s="18">
        <v>9.0436222955827823</v>
      </c>
      <c r="F117" s="18">
        <v>-4.3756071820146403E-2</v>
      </c>
      <c r="G117" s="18">
        <v>-0.13018037264303778</v>
      </c>
      <c r="H117" s="18">
        <v>6.8041302620054075E-2</v>
      </c>
      <c r="I117" s="18">
        <v>8.9091717849784171</v>
      </c>
      <c r="J117" s="18">
        <v>9.1780728061871475</v>
      </c>
      <c r="K117" s="18">
        <v>0.34293654323908429</v>
      </c>
      <c r="L117" s="18">
        <v>8.3659751670311735</v>
      </c>
      <c r="M117" s="18">
        <v>9.7212694241343911</v>
      </c>
    </row>
    <row r="118" spans="2:13" x14ac:dyDescent="0.15">
      <c r="B118" s="9" t="s">
        <v>237</v>
      </c>
      <c r="C118" s="15">
        <v>1</v>
      </c>
      <c r="D118" s="18">
        <v>9.1016409550528419</v>
      </c>
      <c r="E118" s="18">
        <v>9.091834569626819</v>
      </c>
      <c r="F118" s="18">
        <v>9.8063854260228567E-3</v>
      </c>
      <c r="G118" s="18">
        <v>2.9175354549380087E-2</v>
      </c>
      <c r="H118" s="18">
        <v>5.3099379345894267E-2</v>
      </c>
      <c r="I118" s="18">
        <v>8.9869094963122151</v>
      </c>
      <c r="J118" s="18">
        <v>9.1967596429414229</v>
      </c>
      <c r="K118" s="18">
        <v>0.34028722854885074</v>
      </c>
      <c r="L118" s="18">
        <v>8.4194225218149583</v>
      </c>
      <c r="M118" s="18">
        <v>9.7642466174386797</v>
      </c>
    </row>
    <row r="119" spans="2:13" x14ac:dyDescent="0.15">
      <c r="B119" s="9" t="s">
        <v>238</v>
      </c>
      <c r="C119" s="15">
        <v>1</v>
      </c>
      <c r="D119" s="18">
        <v>9.1210719042180006</v>
      </c>
      <c r="E119" s="18">
        <v>9.0887880050999108</v>
      </c>
      <c r="F119" s="18">
        <v>3.228389911808982E-2</v>
      </c>
      <c r="G119" s="18">
        <v>9.6049070283044186E-2</v>
      </c>
      <c r="H119" s="18">
        <v>4.7405686598945639E-2</v>
      </c>
      <c r="I119" s="18">
        <v>8.9951137436829907</v>
      </c>
      <c r="J119" s="18">
        <v>9.182462266516831</v>
      </c>
      <c r="K119" s="18">
        <v>0.33944536077026599</v>
      </c>
      <c r="L119" s="18">
        <v>8.418039499112405</v>
      </c>
      <c r="M119" s="18">
        <v>9.7595365110874166</v>
      </c>
    </row>
    <row r="120" spans="2:13" x14ac:dyDescent="0.15">
      <c r="B120" s="9" t="s">
        <v>239</v>
      </c>
      <c r="C120" s="15">
        <v>1</v>
      </c>
      <c r="D120" s="18">
        <v>9.1160296925049416</v>
      </c>
      <c r="E120" s="18">
        <v>9.1537119191861027</v>
      </c>
      <c r="F120" s="18">
        <v>-3.7682226681161168E-2</v>
      </c>
      <c r="G120" s="18">
        <v>-0.11210984229883203</v>
      </c>
      <c r="H120" s="18">
        <v>6.0845926645129736E-2</v>
      </c>
      <c r="I120" s="18">
        <v>9.0334795663266174</v>
      </c>
      <c r="J120" s="18">
        <v>9.273944272045588</v>
      </c>
      <c r="K120" s="18">
        <v>0.34158173343409787</v>
      </c>
      <c r="L120" s="18">
        <v>8.4787419126624108</v>
      </c>
      <c r="M120" s="18">
        <v>9.8286819257097946</v>
      </c>
    </row>
    <row r="121" spans="2:13" x14ac:dyDescent="0.15">
      <c r="B121" s="9" t="s">
        <v>240</v>
      </c>
      <c r="C121" s="15">
        <v>1</v>
      </c>
      <c r="D121" s="18">
        <v>11.180287866716585</v>
      </c>
      <c r="E121" s="18">
        <v>10.98741166646742</v>
      </c>
      <c r="F121" s="18">
        <v>0.19287620024916485</v>
      </c>
      <c r="G121" s="18">
        <v>0.5738334036385957</v>
      </c>
      <c r="H121" s="18">
        <v>0.10953949534060466</v>
      </c>
      <c r="I121" s="18">
        <v>10.770960180196962</v>
      </c>
      <c r="J121" s="18">
        <v>11.203863152737878</v>
      </c>
      <c r="K121" s="18">
        <v>0.35351768677961914</v>
      </c>
      <c r="L121" s="18">
        <v>10.288856058844694</v>
      </c>
      <c r="M121" s="18">
        <v>11.685967274090146</v>
      </c>
    </row>
    <row r="122" spans="2:13" x14ac:dyDescent="0.15">
      <c r="B122" s="9" t="s">
        <v>241</v>
      </c>
      <c r="C122" s="15">
        <v>1</v>
      </c>
      <c r="D122" s="18">
        <v>9.4476234868441118</v>
      </c>
      <c r="E122" s="18">
        <v>9.1190991796215712</v>
      </c>
      <c r="F122" s="18">
        <v>0.32852430722254056</v>
      </c>
      <c r="G122" s="18">
        <v>0.97740530530976388</v>
      </c>
      <c r="H122" s="18">
        <v>5.7963483762866842E-2</v>
      </c>
      <c r="I122" s="18">
        <v>9.0045625718813724</v>
      </c>
      <c r="J122" s="18">
        <v>9.23363578736177</v>
      </c>
      <c r="K122" s="18">
        <v>0.34108007751328234</v>
      </c>
      <c r="L122" s="18">
        <v>8.4451204518080765</v>
      </c>
      <c r="M122" s="18">
        <v>9.793077907435066</v>
      </c>
    </row>
    <row r="123" spans="2:13" x14ac:dyDescent="0.15">
      <c r="B123" s="9" t="s">
        <v>242</v>
      </c>
      <c r="C123" s="15">
        <v>1</v>
      </c>
      <c r="D123" s="18">
        <v>9.1764733024646059</v>
      </c>
      <c r="E123" s="18">
        <v>9.1024188092788361</v>
      </c>
      <c r="F123" s="18">
        <v>7.4054493185769843E-2</v>
      </c>
      <c r="G123" s="18">
        <v>0.22032237167999427</v>
      </c>
      <c r="H123" s="18">
        <v>5.5693749739778475E-2</v>
      </c>
      <c r="I123" s="18">
        <v>8.9923672258781107</v>
      </c>
      <c r="J123" s="18">
        <v>9.2124703926795615</v>
      </c>
      <c r="K123" s="18">
        <v>0.34070169883142004</v>
      </c>
      <c r="L123" s="18">
        <v>8.4291877627268565</v>
      </c>
      <c r="M123" s="18">
        <v>9.7756498558308156</v>
      </c>
    </row>
    <row r="124" spans="2:13" x14ac:dyDescent="0.15">
      <c r="B124" s="9" t="s">
        <v>243</v>
      </c>
      <c r="C124" s="15">
        <v>1</v>
      </c>
      <c r="D124" s="18">
        <v>9.2763153608997158</v>
      </c>
      <c r="E124" s="18">
        <v>9.1324391836491028</v>
      </c>
      <c r="F124" s="18">
        <v>0.14387617725061297</v>
      </c>
      <c r="G124" s="18">
        <v>0.42805155010091306</v>
      </c>
      <c r="H124" s="18">
        <v>3.9107337658595462E-2</v>
      </c>
      <c r="I124" s="18">
        <v>9.0551625690913777</v>
      </c>
      <c r="J124" s="18">
        <v>9.2097157982068278</v>
      </c>
      <c r="K124" s="18">
        <v>0.33838622561398973</v>
      </c>
      <c r="L124" s="18">
        <v>8.4637835426873522</v>
      </c>
      <c r="M124" s="18">
        <v>9.8010948246108534</v>
      </c>
    </row>
    <row r="125" spans="2:13" x14ac:dyDescent="0.15">
      <c r="B125" s="9" t="s">
        <v>244</v>
      </c>
      <c r="C125" s="15">
        <v>1</v>
      </c>
      <c r="D125" s="18">
        <v>11.064996390042804</v>
      </c>
      <c r="E125" s="18">
        <v>10.784797014809595</v>
      </c>
      <c r="F125" s="18">
        <v>0.28019937523320948</v>
      </c>
      <c r="G125" s="18">
        <v>0.83363194100551985</v>
      </c>
      <c r="H125" s="18">
        <v>0.12216675714183711</v>
      </c>
      <c r="I125" s="18">
        <v>10.54339389282177</v>
      </c>
      <c r="J125" s="18">
        <v>11.026200136797419</v>
      </c>
      <c r="K125" s="18">
        <v>0.35763189228184222</v>
      </c>
      <c r="L125" s="18">
        <v>10.078111682898754</v>
      </c>
      <c r="M125" s="18">
        <v>11.491482346720435</v>
      </c>
    </row>
    <row r="126" spans="2:13" x14ac:dyDescent="0.15">
      <c r="B126" s="9" t="s">
        <v>245</v>
      </c>
      <c r="C126" s="15">
        <v>1</v>
      </c>
      <c r="D126" s="18">
        <v>9.0261771203028562</v>
      </c>
      <c r="E126" s="18">
        <v>9.1351801897004048</v>
      </c>
      <c r="F126" s="18">
        <v>-0.10900306939754856</v>
      </c>
      <c r="G126" s="18">
        <v>-0.32429922529915756</v>
      </c>
      <c r="H126" s="18">
        <v>6.9344009561741332E-2</v>
      </c>
      <c r="I126" s="18">
        <v>8.9981555130125983</v>
      </c>
      <c r="J126" s="18">
        <v>9.2722048663882113</v>
      </c>
      <c r="K126" s="18">
        <v>0.34319738560868651</v>
      </c>
      <c r="L126" s="18">
        <v>8.457017633189162</v>
      </c>
      <c r="M126" s="18">
        <v>9.8133427462116476</v>
      </c>
    </row>
    <row r="127" spans="2:13" x14ac:dyDescent="0.15">
      <c r="B127" s="9" t="s">
        <v>246</v>
      </c>
      <c r="C127" s="15">
        <v>1</v>
      </c>
      <c r="D127" s="18">
        <v>9.0336031934761287</v>
      </c>
      <c r="E127" s="18">
        <v>9.1395726735508056</v>
      </c>
      <c r="F127" s="18">
        <v>-0.10596948007467688</v>
      </c>
      <c r="G127" s="18">
        <v>-0.31527387699731235</v>
      </c>
      <c r="H127" s="18">
        <v>4.162961649609128E-2</v>
      </c>
      <c r="I127" s="18">
        <v>9.0573120027723828</v>
      </c>
      <c r="J127" s="18">
        <v>9.2218333443292284</v>
      </c>
      <c r="K127" s="18">
        <v>0.33868699236337702</v>
      </c>
      <c r="L127" s="18">
        <v>8.470322713528855</v>
      </c>
      <c r="M127" s="18">
        <v>9.8088226335727562</v>
      </c>
    </row>
    <row r="128" spans="2:13" x14ac:dyDescent="0.15">
      <c r="B128" s="9" t="s">
        <v>247</v>
      </c>
      <c r="C128" s="15">
        <v>1</v>
      </c>
      <c r="D128" s="18">
        <v>8.8764049150069404</v>
      </c>
      <c r="E128" s="18">
        <v>9.0606127605342923</v>
      </c>
      <c r="F128" s="18">
        <v>-0.18420784552735192</v>
      </c>
      <c r="G128" s="18">
        <v>-0.54804384801929817</v>
      </c>
      <c r="H128" s="18">
        <v>5.3398086117477969E-2</v>
      </c>
      <c r="I128" s="18">
        <v>8.955097438702774</v>
      </c>
      <c r="J128" s="18">
        <v>9.1661280823658107</v>
      </c>
      <c r="K128" s="18">
        <v>0.3403339674900937</v>
      </c>
      <c r="L128" s="18">
        <v>8.3881083559586234</v>
      </c>
      <c r="M128" s="18">
        <v>9.7331171651099613</v>
      </c>
    </row>
    <row r="129" spans="2:13" x14ac:dyDescent="0.15">
      <c r="B129" s="9" t="s">
        <v>248</v>
      </c>
      <c r="C129" s="15">
        <v>1</v>
      </c>
      <c r="D129" s="18">
        <v>8.9029996618612177</v>
      </c>
      <c r="E129" s="18">
        <v>9.1166018892967777</v>
      </c>
      <c r="F129" s="18">
        <v>-0.21360222743556001</v>
      </c>
      <c r="G129" s="18">
        <v>-0.63549620448655408</v>
      </c>
      <c r="H129" s="18">
        <v>4.1240766633822812E-2</v>
      </c>
      <c r="I129" s="18">
        <v>9.0351095909703396</v>
      </c>
      <c r="J129" s="18">
        <v>9.1980941876232158</v>
      </c>
      <c r="K129" s="18">
        <v>0.33863941687152133</v>
      </c>
      <c r="L129" s="18">
        <v>8.4474459390736687</v>
      </c>
      <c r="M129" s="18">
        <v>9.7857578395198868</v>
      </c>
    </row>
    <row r="130" spans="2:13" x14ac:dyDescent="0.15">
      <c r="B130" s="9" t="s">
        <v>249</v>
      </c>
      <c r="C130" s="15">
        <v>1</v>
      </c>
      <c r="D130" s="18">
        <v>9.2699291633878396</v>
      </c>
      <c r="E130" s="18">
        <v>9.345964061033639</v>
      </c>
      <c r="F130" s="18">
        <v>-7.6034897645799404E-2</v>
      </c>
      <c r="G130" s="18">
        <v>-0.22621434917857494</v>
      </c>
      <c r="H130" s="18">
        <v>5.9836051610100034E-2</v>
      </c>
      <c r="I130" s="18">
        <v>9.2277272345511907</v>
      </c>
      <c r="J130" s="18">
        <v>9.4642008875160872</v>
      </c>
      <c r="K130" s="18">
        <v>0.34140329069712427</v>
      </c>
      <c r="L130" s="18">
        <v>8.6713466597096698</v>
      </c>
      <c r="M130" s="18">
        <v>10.020581462357608</v>
      </c>
    </row>
    <row r="131" spans="2:13" x14ac:dyDescent="0.15">
      <c r="B131" s="9" t="s">
        <v>250</v>
      </c>
      <c r="C131" s="15">
        <v>1</v>
      </c>
      <c r="D131" s="18">
        <v>8.9015027574516097</v>
      </c>
      <c r="E131" s="18">
        <v>9.1537442252421108</v>
      </c>
      <c r="F131" s="18">
        <v>-0.25224146779050116</v>
      </c>
      <c r="G131" s="18">
        <v>-0.75045329498420177</v>
      </c>
      <c r="H131" s="18">
        <v>3.4847032665371154E-2</v>
      </c>
      <c r="I131" s="18">
        <v>9.0848860294919724</v>
      </c>
      <c r="J131" s="18">
        <v>9.2226024209922493</v>
      </c>
      <c r="K131" s="18">
        <v>0.33792035971826262</v>
      </c>
      <c r="L131" s="18">
        <v>8.4860091414293528</v>
      </c>
      <c r="M131" s="18">
        <v>9.8214793090548689</v>
      </c>
    </row>
    <row r="132" spans="2:13" x14ac:dyDescent="0.15">
      <c r="B132" s="9" t="s">
        <v>251</v>
      </c>
      <c r="C132" s="15">
        <v>1</v>
      </c>
      <c r="D132" s="18">
        <v>9.0110354101418153</v>
      </c>
      <c r="E132" s="18">
        <v>9.0867529859763145</v>
      </c>
      <c r="F132" s="18">
        <v>-7.5717575834499229E-2</v>
      </c>
      <c r="G132" s="18">
        <v>-0.22527027284986298</v>
      </c>
      <c r="H132" s="18">
        <v>6.3670558445310027E-2</v>
      </c>
      <c r="I132" s="18">
        <v>8.9609391234575515</v>
      </c>
      <c r="J132" s="18">
        <v>9.2125668484950776</v>
      </c>
      <c r="K132" s="18">
        <v>0.34209617630028577</v>
      </c>
      <c r="L132" s="18">
        <v>8.4107664335698669</v>
      </c>
      <c r="M132" s="18">
        <v>9.7627395383827622</v>
      </c>
    </row>
    <row r="133" spans="2:13" x14ac:dyDescent="0.15">
      <c r="B133" s="9" t="s">
        <v>252</v>
      </c>
      <c r="C133" s="15">
        <v>1</v>
      </c>
      <c r="D133" s="18">
        <v>9.9523729502659393</v>
      </c>
      <c r="E133" s="18">
        <v>9.8415773361171688</v>
      </c>
      <c r="F133" s="18">
        <v>0.11079561414877048</v>
      </c>
      <c r="G133" s="18">
        <v>0.32963229415078033</v>
      </c>
      <c r="H133" s="18">
        <v>5.1864326994225177E-2</v>
      </c>
      <c r="I133" s="18">
        <v>9.7390927425245994</v>
      </c>
      <c r="J133" s="18">
        <v>9.9440619297097381</v>
      </c>
      <c r="K133" s="18">
        <v>0.34009669542808335</v>
      </c>
      <c r="L133" s="18">
        <v>9.16954178426273</v>
      </c>
      <c r="M133" s="18">
        <v>10.513612887971608</v>
      </c>
    </row>
    <row r="134" spans="2:13" x14ac:dyDescent="0.15">
      <c r="B134" s="9" t="s">
        <v>253</v>
      </c>
      <c r="C134" s="15">
        <v>1</v>
      </c>
      <c r="D134" s="18">
        <v>8.9664837790644309</v>
      </c>
      <c r="E134" s="18">
        <v>9.1597222361928363</v>
      </c>
      <c r="F134" s="18">
        <v>-0.19323845712840537</v>
      </c>
      <c r="G134" s="18">
        <v>-0.57491116801666586</v>
      </c>
      <c r="H134" s="18">
        <v>5.4201415892774982E-2</v>
      </c>
      <c r="I134" s="18">
        <v>9.0526195241393008</v>
      </c>
      <c r="J134" s="18">
        <v>9.2668249482463718</v>
      </c>
      <c r="K134" s="18">
        <v>0.34046093360519375</v>
      </c>
      <c r="L134" s="18">
        <v>8.48696694490061</v>
      </c>
      <c r="M134" s="18">
        <v>9.8324775274850627</v>
      </c>
    </row>
    <row r="135" spans="2:13" x14ac:dyDescent="0.15">
      <c r="B135" s="9" t="s">
        <v>254</v>
      </c>
      <c r="C135" s="15">
        <v>1</v>
      </c>
      <c r="D135" s="18">
        <v>10.216325544869028</v>
      </c>
      <c r="E135" s="18">
        <v>9.8089474138209383</v>
      </c>
      <c r="F135" s="18">
        <v>0.40737813104808929</v>
      </c>
      <c r="G135" s="18">
        <v>1.2120063502146226</v>
      </c>
      <c r="H135" s="18">
        <v>5.9397065123036039E-2</v>
      </c>
      <c r="I135" s="18">
        <v>9.6915780304217556</v>
      </c>
      <c r="J135" s="18">
        <v>9.9263167972201209</v>
      </c>
      <c r="K135" s="18">
        <v>0.34132662534846114</v>
      </c>
      <c r="L135" s="18">
        <v>9.1344815042361986</v>
      </c>
      <c r="M135" s="18">
        <v>10.483413323405678</v>
      </c>
    </row>
    <row r="136" spans="2:13" x14ac:dyDescent="0.15">
      <c r="B136" s="9" t="s">
        <v>255</v>
      </c>
      <c r="C136" s="15">
        <v>1</v>
      </c>
      <c r="D136" s="18">
        <v>8.7207868834857312</v>
      </c>
      <c r="E136" s="18">
        <v>9.162964987895414</v>
      </c>
      <c r="F136" s="18">
        <v>-0.44217810440968286</v>
      </c>
      <c r="G136" s="18">
        <v>-1.3155410897771942</v>
      </c>
      <c r="H136" s="18">
        <v>3.4836493061905484E-2</v>
      </c>
      <c r="I136" s="18">
        <v>9.094127618540611</v>
      </c>
      <c r="J136" s="18">
        <v>9.231802357250217</v>
      </c>
      <c r="K136" s="18">
        <v>0.33791927301559876</v>
      </c>
      <c r="L136" s="18">
        <v>8.495232051421441</v>
      </c>
      <c r="M136" s="18">
        <v>9.8306979243693871</v>
      </c>
    </row>
    <row r="137" spans="2:13" x14ac:dyDescent="0.15">
      <c r="B137" s="9" t="s">
        <v>256</v>
      </c>
      <c r="C137" s="15">
        <v>1</v>
      </c>
      <c r="D137" s="18">
        <v>8.9136848247252942</v>
      </c>
      <c r="E137" s="18">
        <v>9.0573760658217015</v>
      </c>
      <c r="F137" s="18">
        <v>-0.1436912410964073</v>
      </c>
      <c r="G137" s="18">
        <v>-0.42750133943372565</v>
      </c>
      <c r="H137" s="18">
        <v>8.860745017782122E-2</v>
      </c>
      <c r="I137" s="18">
        <v>8.8822865766288892</v>
      </c>
      <c r="J137" s="18">
        <v>9.2324655550145138</v>
      </c>
      <c r="K137" s="18">
        <v>0.34760197648108049</v>
      </c>
      <c r="L137" s="18">
        <v>8.3705099797042788</v>
      </c>
      <c r="M137" s="18">
        <v>9.7442421519391242</v>
      </c>
    </row>
    <row r="138" spans="2:13" x14ac:dyDescent="0.15">
      <c r="B138" s="9" t="s">
        <v>257</v>
      </c>
      <c r="C138" s="15">
        <v>1</v>
      </c>
      <c r="D138" s="18">
        <v>9.0068768914287993</v>
      </c>
      <c r="E138" s="18">
        <v>9.1174268427271219</v>
      </c>
      <c r="F138" s="18">
        <v>-0.11054995129832257</v>
      </c>
      <c r="G138" s="18">
        <v>-0.3289014131533427</v>
      </c>
      <c r="H138" s="18">
        <v>6.2114932367916015E-2</v>
      </c>
      <c r="I138" s="18">
        <v>8.994686917836848</v>
      </c>
      <c r="J138" s="18">
        <v>9.2401667676173957</v>
      </c>
      <c r="K138" s="18">
        <v>0.34181006224160421</v>
      </c>
      <c r="L138" s="18">
        <v>8.4420056554709504</v>
      </c>
      <c r="M138" s="18">
        <v>9.7928480299832934</v>
      </c>
    </row>
    <row r="139" spans="2:13" x14ac:dyDescent="0.15">
      <c r="B139" s="9" t="s">
        <v>258</v>
      </c>
      <c r="C139" s="15">
        <v>1</v>
      </c>
      <c r="D139" s="18">
        <v>9.088285725968877</v>
      </c>
      <c r="E139" s="18">
        <v>9.1720116287730864</v>
      </c>
      <c r="F139" s="18">
        <v>-8.372590280420944E-2</v>
      </c>
      <c r="G139" s="18">
        <v>-0.24909615451148323</v>
      </c>
      <c r="H139" s="18">
        <v>5.4228586716657999E-2</v>
      </c>
      <c r="I139" s="18">
        <v>9.0648552268135099</v>
      </c>
      <c r="J139" s="18">
        <v>9.2791680307326629</v>
      </c>
      <c r="K139" s="18">
        <v>0.34046526025987539</v>
      </c>
      <c r="L139" s="18">
        <v>8.499247787954193</v>
      </c>
      <c r="M139" s="18">
        <v>9.8447754695919798</v>
      </c>
    </row>
    <row r="140" spans="2:13" x14ac:dyDescent="0.15">
      <c r="B140" s="9" t="s">
        <v>259</v>
      </c>
      <c r="C140" s="15">
        <v>1</v>
      </c>
      <c r="D140" s="18">
        <v>8.8828080549244408</v>
      </c>
      <c r="E140" s="18">
        <v>9.0975290505471111</v>
      </c>
      <c r="F140" s="18">
        <v>-0.21472099562267033</v>
      </c>
      <c r="G140" s="18">
        <v>-0.63882469476095172</v>
      </c>
      <c r="H140" s="18">
        <v>5.5246055732095276E-2</v>
      </c>
      <c r="I140" s="18">
        <v>8.9883621164051402</v>
      </c>
      <c r="J140" s="18">
        <v>9.2066959846890821</v>
      </c>
      <c r="K140" s="18">
        <v>0.34062880163088433</v>
      </c>
      <c r="L140" s="18">
        <v>8.4244420498240071</v>
      </c>
      <c r="M140" s="18">
        <v>9.7706160512702152</v>
      </c>
    </row>
    <row r="141" spans="2:13" x14ac:dyDescent="0.15">
      <c r="B141" s="9" t="s">
        <v>260</v>
      </c>
      <c r="C141" s="15">
        <v>1</v>
      </c>
      <c r="D141" s="18">
        <v>10.099465435777569</v>
      </c>
      <c r="E141" s="18">
        <v>9.890991110223613</v>
      </c>
      <c r="F141" s="18">
        <v>0.20847432555395606</v>
      </c>
      <c r="G141" s="18">
        <v>0.62023998631943844</v>
      </c>
      <c r="H141" s="18">
        <v>4.9839211805771721E-2</v>
      </c>
      <c r="I141" s="18">
        <v>9.7925081709297661</v>
      </c>
      <c r="J141" s="18">
        <v>9.9894740495174599</v>
      </c>
      <c r="K141" s="18">
        <v>0.33979376224403995</v>
      </c>
      <c r="L141" s="18">
        <v>9.2195541583328033</v>
      </c>
      <c r="M141" s="18">
        <v>10.562428062114423</v>
      </c>
    </row>
    <row r="142" spans="2:13" x14ac:dyDescent="0.15">
      <c r="B142" s="9" t="s">
        <v>261</v>
      </c>
      <c r="C142" s="15">
        <v>1</v>
      </c>
      <c r="D142" s="18">
        <v>8.9099107267018987</v>
      </c>
      <c r="E142" s="18">
        <v>8.7533074956414154</v>
      </c>
      <c r="F142" s="18">
        <v>0.15660323106048324</v>
      </c>
      <c r="G142" s="18">
        <v>0.46591629752218566</v>
      </c>
      <c r="H142" s="18">
        <v>4.815684524123158E-2</v>
      </c>
      <c r="I142" s="18">
        <v>8.6581489348488034</v>
      </c>
      <c r="J142" s="18">
        <v>8.8484660564340274</v>
      </c>
      <c r="K142" s="18">
        <v>0.33955107947130209</v>
      </c>
      <c r="L142" s="18">
        <v>8.0823500881075336</v>
      </c>
      <c r="M142" s="18">
        <v>9.4242649031752972</v>
      </c>
    </row>
    <row r="143" spans="2:13" x14ac:dyDescent="0.15">
      <c r="B143" s="9" t="s">
        <v>262</v>
      </c>
      <c r="C143" s="15">
        <v>1</v>
      </c>
      <c r="D143" s="18">
        <v>9.0657769207848293</v>
      </c>
      <c r="E143" s="18">
        <v>8.8574776867769796</v>
      </c>
      <c r="F143" s="18">
        <v>0.20829923400784978</v>
      </c>
      <c r="G143" s="18">
        <v>0.61971906472454641</v>
      </c>
      <c r="H143" s="18">
        <v>4.9643455733362082E-2</v>
      </c>
      <c r="I143" s="18">
        <v>8.759381564061826</v>
      </c>
      <c r="J143" s="18">
        <v>8.9555738094921331</v>
      </c>
      <c r="K143" s="18">
        <v>0.33976510492351747</v>
      </c>
      <c r="L143" s="18">
        <v>8.1860973621291588</v>
      </c>
      <c r="M143" s="18">
        <v>9.5288580114248003</v>
      </c>
    </row>
    <row r="144" spans="2:13" x14ac:dyDescent="0.15">
      <c r="B144" s="9" t="s">
        <v>263</v>
      </c>
      <c r="C144" s="15">
        <v>1</v>
      </c>
      <c r="D144" s="18">
        <v>10.291094142342979</v>
      </c>
      <c r="E144" s="18">
        <v>9.9077364768222989</v>
      </c>
      <c r="F144" s="18">
        <v>0.38335766552068051</v>
      </c>
      <c r="G144" s="18">
        <v>1.140542139115637</v>
      </c>
      <c r="H144" s="18">
        <v>5.8946415337224542E-2</v>
      </c>
      <c r="I144" s="18">
        <v>9.7912575833384032</v>
      </c>
      <c r="J144" s="18">
        <v>10.024215370306194</v>
      </c>
      <c r="K144" s="18">
        <v>0.34124849260860796</v>
      </c>
      <c r="L144" s="18">
        <v>9.2334249585611179</v>
      </c>
      <c r="M144" s="18">
        <v>10.58204799508348</v>
      </c>
    </row>
    <row r="145" spans="2:13" x14ac:dyDescent="0.15">
      <c r="B145" s="9" t="s">
        <v>264</v>
      </c>
      <c r="C145" s="15">
        <v>1</v>
      </c>
      <c r="D145" s="18">
        <v>9.1101884900257417</v>
      </c>
      <c r="E145" s="18">
        <v>8.7954231988917542</v>
      </c>
      <c r="F145" s="18">
        <v>0.31476529113398755</v>
      </c>
      <c r="G145" s="18">
        <v>0.93647032721182855</v>
      </c>
      <c r="H145" s="18">
        <v>6.2652711676689746E-2</v>
      </c>
      <c r="I145" s="18">
        <v>8.6716206150006538</v>
      </c>
      <c r="J145" s="18">
        <v>8.9192257827828545</v>
      </c>
      <c r="K145" s="18">
        <v>0.34190819836175468</v>
      </c>
      <c r="L145" s="18">
        <v>8.1198080933689578</v>
      </c>
      <c r="M145" s="18">
        <v>9.4710383044145505</v>
      </c>
    </row>
    <row r="146" spans="2:13" x14ac:dyDescent="0.15">
      <c r="B146" s="9" t="s">
        <v>265</v>
      </c>
      <c r="C146" s="15">
        <v>1</v>
      </c>
      <c r="D146" s="18">
        <v>8.9936757867596828</v>
      </c>
      <c r="E146" s="18">
        <v>8.8534520357279547</v>
      </c>
      <c r="F146" s="18">
        <v>0.14022375103172813</v>
      </c>
      <c r="G146" s="18">
        <v>0.41718507634202529</v>
      </c>
      <c r="H146" s="18">
        <v>7.3268418164169402E-2</v>
      </c>
      <c r="I146" s="18">
        <v>8.7086726759271134</v>
      </c>
      <c r="J146" s="18">
        <v>8.998231395528796</v>
      </c>
      <c r="K146" s="18">
        <v>0.34401179474956695</v>
      </c>
      <c r="L146" s="18">
        <v>8.1736801960223016</v>
      </c>
      <c r="M146" s="18">
        <v>9.5332238754336078</v>
      </c>
    </row>
    <row r="147" spans="2:13" x14ac:dyDescent="0.15">
      <c r="B147" s="9" t="s">
        <v>266</v>
      </c>
      <c r="C147" s="15">
        <v>1</v>
      </c>
      <c r="D147" s="18">
        <v>9.0581211589986719</v>
      </c>
      <c r="E147" s="18">
        <v>8.894113066526252</v>
      </c>
      <c r="F147" s="18">
        <v>0.16400809247241988</v>
      </c>
      <c r="G147" s="18">
        <v>0.4879467855865216</v>
      </c>
      <c r="H147" s="18">
        <v>7.0073022797644283E-2</v>
      </c>
      <c r="I147" s="18">
        <v>8.7556478500775921</v>
      </c>
      <c r="J147" s="18">
        <v>9.0325782829749119</v>
      </c>
      <c r="K147" s="18">
        <v>0.34334542715833244</v>
      </c>
      <c r="L147" s="18">
        <v>8.2156579779620635</v>
      </c>
      <c r="M147" s="18">
        <v>9.5725681550904405</v>
      </c>
    </row>
    <row r="148" spans="2:13" x14ac:dyDescent="0.15">
      <c r="B148" s="9" t="s">
        <v>267</v>
      </c>
      <c r="C148" s="15">
        <v>1</v>
      </c>
      <c r="D148" s="18">
        <v>8.8159635608534384</v>
      </c>
      <c r="E148" s="18">
        <v>8.687699999109153</v>
      </c>
      <c r="F148" s="18">
        <v>0.12826356174428533</v>
      </c>
      <c r="G148" s="18">
        <v>0.38160185706401645</v>
      </c>
      <c r="H148" s="18">
        <v>6.8746343407919006E-2</v>
      </c>
      <c r="I148" s="18">
        <v>8.5518563186171583</v>
      </c>
      <c r="J148" s="18">
        <v>8.8235436796011477</v>
      </c>
      <c r="K148" s="18">
        <v>0.34307712479630303</v>
      </c>
      <c r="L148" s="18">
        <v>8.009775079547941</v>
      </c>
      <c r="M148" s="18">
        <v>9.3656249186703651</v>
      </c>
    </row>
    <row r="149" spans="2:13" x14ac:dyDescent="0.15">
      <c r="B149" s="9" t="s">
        <v>268</v>
      </c>
      <c r="C149" s="15">
        <v>1</v>
      </c>
      <c r="D149" s="18">
        <v>8.977651407818442</v>
      </c>
      <c r="E149" s="18">
        <v>8.7974369569513229</v>
      </c>
      <c r="F149" s="18">
        <v>0.18021445086711907</v>
      </c>
      <c r="G149" s="18">
        <v>0.5361629459329168</v>
      </c>
      <c r="H149" s="18">
        <v>4.8890409960202309E-2</v>
      </c>
      <c r="I149" s="18">
        <v>8.7008288626073362</v>
      </c>
      <c r="J149" s="18">
        <v>8.8940450512953095</v>
      </c>
      <c r="K149" s="18">
        <v>0.33965589353434633</v>
      </c>
      <c r="L149" s="18">
        <v>8.1262724354476585</v>
      </c>
      <c r="M149" s="18">
        <v>9.4686014784549872</v>
      </c>
    </row>
    <row r="150" spans="2:13" x14ac:dyDescent="0.15">
      <c r="B150" s="9" t="s">
        <v>269</v>
      </c>
      <c r="C150" s="15">
        <v>1</v>
      </c>
      <c r="D150" s="18">
        <v>10.194850342827481</v>
      </c>
      <c r="E150" s="18">
        <v>9.9316000890491765</v>
      </c>
      <c r="F150" s="18">
        <v>0.26325025377830436</v>
      </c>
      <c r="G150" s="18">
        <v>0.78320595770334067</v>
      </c>
      <c r="H150" s="18">
        <v>5.7279247961370759E-2</v>
      </c>
      <c r="I150" s="18">
        <v>9.8184155402693811</v>
      </c>
      <c r="J150" s="18">
        <v>10.044784637828972</v>
      </c>
      <c r="K150" s="18">
        <v>0.34096446453194906</v>
      </c>
      <c r="L150" s="18">
        <v>9.2578498140103083</v>
      </c>
      <c r="M150" s="18">
        <v>10.605350364088045</v>
      </c>
    </row>
    <row r="151" spans="2:13" x14ac:dyDescent="0.15">
      <c r="B151" s="9" t="s">
        <v>270</v>
      </c>
      <c r="C151" s="15">
        <v>1</v>
      </c>
      <c r="D151" s="18">
        <v>8.9298325032724026</v>
      </c>
      <c r="E151" s="18">
        <v>9.0180066352767678</v>
      </c>
      <c r="F151" s="18">
        <v>-8.8174132004365191E-2</v>
      </c>
      <c r="G151" s="18">
        <v>-0.26233025233585189</v>
      </c>
      <c r="H151" s="18">
        <v>0.11010486751575768</v>
      </c>
      <c r="I151" s="18">
        <v>8.800437966137908</v>
      </c>
      <c r="J151" s="18">
        <v>9.2355753044156277</v>
      </c>
      <c r="K151" s="18">
        <v>0.35369327909532167</v>
      </c>
      <c r="L151" s="18">
        <v>8.3191040549243134</v>
      </c>
      <c r="M151" s="18">
        <v>9.7169092156292223</v>
      </c>
    </row>
    <row r="152" spans="2:13" x14ac:dyDescent="0.15">
      <c r="B152" s="9" t="s">
        <v>271</v>
      </c>
      <c r="C152" s="15">
        <v>1</v>
      </c>
      <c r="D152" s="18">
        <v>8.8932981442179155</v>
      </c>
      <c r="E152" s="18">
        <v>8.8121913272915968</v>
      </c>
      <c r="F152" s="18">
        <v>8.1106816926318714E-2</v>
      </c>
      <c r="G152" s="18">
        <v>0.24130401135545732</v>
      </c>
      <c r="H152" s="18">
        <v>0.12925474540489418</v>
      </c>
      <c r="I152" s="18">
        <v>8.5567822470926647</v>
      </c>
      <c r="J152" s="18">
        <v>9.067600407490529</v>
      </c>
      <c r="K152" s="18">
        <v>0.36011476370210455</v>
      </c>
      <c r="L152" s="18">
        <v>8.1005998087358098</v>
      </c>
      <c r="M152" s="18">
        <v>9.5237828458473839</v>
      </c>
    </row>
    <row r="153" spans="2:13" x14ac:dyDescent="0.15">
      <c r="B153" s="9" t="s">
        <v>272</v>
      </c>
      <c r="C153" s="15">
        <v>1</v>
      </c>
      <c r="D153" s="18">
        <v>8.8631913406908538</v>
      </c>
      <c r="E153" s="18">
        <v>8.7621591262827359</v>
      </c>
      <c r="F153" s="18">
        <v>0.10103221440811794</v>
      </c>
      <c r="G153" s="18">
        <v>0.30058482796767827</v>
      </c>
      <c r="H153" s="18">
        <v>8.4578189656292296E-2</v>
      </c>
      <c r="I153" s="18">
        <v>8.5950315089768061</v>
      </c>
      <c r="J153" s="18">
        <v>8.9292867435886656</v>
      </c>
      <c r="K153" s="18">
        <v>0.34659677435324515</v>
      </c>
      <c r="L153" s="18">
        <v>8.0772793328161576</v>
      </c>
      <c r="M153" s="18">
        <v>9.4470389197493141</v>
      </c>
    </row>
    <row r="154" spans="2:13" x14ac:dyDescent="0.15">
      <c r="B154" s="9" t="s">
        <v>273</v>
      </c>
      <c r="C154" s="15">
        <v>1</v>
      </c>
      <c r="D154" s="18">
        <v>8.905308661189288</v>
      </c>
      <c r="E154" s="18">
        <v>8.8606628198119726</v>
      </c>
      <c r="F154" s="18">
        <v>4.4645841377315421E-2</v>
      </c>
      <c r="G154" s="18">
        <v>0.13282756028352796</v>
      </c>
      <c r="H154" s="18">
        <v>5.0848344181412486E-2</v>
      </c>
      <c r="I154" s="18">
        <v>8.7601858216458268</v>
      </c>
      <c r="J154" s="18">
        <v>8.9611398179781183</v>
      </c>
      <c r="K154" s="18">
        <v>0.33994324222218325</v>
      </c>
      <c r="L154" s="18">
        <v>8.188930493514551</v>
      </c>
      <c r="M154" s="18">
        <v>9.5323951461093941</v>
      </c>
    </row>
    <row r="155" spans="2:13" x14ac:dyDescent="0.15">
      <c r="B155" s="9" t="s">
        <v>274</v>
      </c>
      <c r="C155" s="15">
        <v>1</v>
      </c>
      <c r="D155" s="18">
        <v>8.9983840100525381</v>
      </c>
      <c r="E155" s="18">
        <v>8.9000892345368694</v>
      </c>
      <c r="F155" s="18">
        <v>9.8294775515668675E-2</v>
      </c>
      <c r="G155" s="18">
        <v>0.29244056820479636</v>
      </c>
      <c r="H155" s="18">
        <v>4.6636466376947149E-2</v>
      </c>
      <c r="I155" s="18">
        <v>8.8079349624151639</v>
      </c>
      <c r="J155" s="18">
        <v>8.9922435066585749</v>
      </c>
      <c r="K155" s="18">
        <v>0.33933878915129451</v>
      </c>
      <c r="L155" s="18">
        <v>8.2295513154728184</v>
      </c>
      <c r="M155" s="18">
        <v>9.5706271536009204</v>
      </c>
    </row>
    <row r="156" spans="2:13" x14ac:dyDescent="0.15">
      <c r="B156" s="9" t="s">
        <v>275</v>
      </c>
      <c r="C156" s="15">
        <v>1</v>
      </c>
      <c r="D156" s="18">
        <v>8.9643119481245144</v>
      </c>
      <c r="E156" s="18">
        <v>8.854362393165971</v>
      </c>
      <c r="F156" s="18">
        <v>0.10994955495854342</v>
      </c>
      <c r="G156" s="18">
        <v>0.3271151509045917</v>
      </c>
      <c r="H156" s="18">
        <v>5.1801875740082069E-2</v>
      </c>
      <c r="I156" s="18">
        <v>8.752001204074551</v>
      </c>
      <c r="J156" s="18">
        <v>8.956723582257391</v>
      </c>
      <c r="K156" s="18">
        <v>0.34008717728948479</v>
      </c>
      <c r="L156" s="18">
        <v>8.1823456492788296</v>
      </c>
      <c r="M156" s="18">
        <v>9.5263791370531123</v>
      </c>
    </row>
    <row r="157" spans="2:13" x14ac:dyDescent="0.15">
      <c r="B157" s="9" t="s">
        <v>276</v>
      </c>
      <c r="C157" s="15">
        <v>1</v>
      </c>
      <c r="D157" s="18">
        <v>8.8609247297190414</v>
      </c>
      <c r="E157" s="18">
        <v>8.7571810706275919</v>
      </c>
      <c r="F157" s="18">
        <v>0.10374365909144956</v>
      </c>
      <c r="G157" s="18">
        <v>0.3086517513589726</v>
      </c>
      <c r="H157" s="18">
        <v>4.8992498482709777E-2</v>
      </c>
      <c r="I157" s="18">
        <v>8.6603712480178405</v>
      </c>
      <c r="J157" s="18">
        <v>8.8539908932373432</v>
      </c>
      <c r="K157" s="18">
        <v>0.33967060328223414</v>
      </c>
      <c r="L157" s="18">
        <v>8.0859874824682603</v>
      </c>
      <c r="M157" s="18">
        <v>9.4283746587869235</v>
      </c>
    </row>
    <row r="158" spans="2:13" x14ac:dyDescent="0.15">
      <c r="B158" s="9" t="s">
        <v>277</v>
      </c>
      <c r="C158" s="15">
        <v>1</v>
      </c>
      <c r="D158" s="18">
        <v>8.8217323809344421</v>
      </c>
      <c r="E158" s="18">
        <v>8.8316623970996737</v>
      </c>
      <c r="F158" s="18">
        <v>-9.9300161652315921E-3</v>
      </c>
      <c r="G158" s="18">
        <v>-2.9543173117885981E-2</v>
      </c>
      <c r="H158" s="18">
        <v>8.8105569614116946E-2</v>
      </c>
      <c r="I158" s="18">
        <v>8.6575646305143668</v>
      </c>
      <c r="J158" s="18">
        <v>9.0057601636849807</v>
      </c>
      <c r="K158" s="18">
        <v>0.34747438067225411</v>
      </c>
      <c r="L158" s="18">
        <v>8.1450484419819098</v>
      </c>
      <c r="M158" s="18">
        <v>9.5182763522174376</v>
      </c>
    </row>
    <row r="159" spans="2:13" x14ac:dyDescent="0.15">
      <c r="B159" s="9" t="s">
        <v>278</v>
      </c>
      <c r="C159" s="15">
        <v>1</v>
      </c>
      <c r="D159" s="18">
        <v>10.05216614490749</v>
      </c>
      <c r="E159" s="18">
        <v>10.141062852841511</v>
      </c>
      <c r="F159" s="18">
        <v>-8.8896707934020824E-2</v>
      </c>
      <c r="G159" s="18">
        <v>-0.2644800157829022</v>
      </c>
      <c r="H159" s="18">
        <v>7.3490775289783455E-2</v>
      </c>
      <c r="I159" s="18">
        <v>9.9958441124303032</v>
      </c>
      <c r="J159" s="18">
        <v>10.286281593252719</v>
      </c>
      <c r="K159" s="18">
        <v>0.34405922147100204</v>
      </c>
      <c r="L159" s="18">
        <v>9.4611972973093277</v>
      </c>
      <c r="M159" s="18">
        <v>10.820928408373694</v>
      </c>
    </row>
    <row r="160" spans="2:13" x14ac:dyDescent="0.15">
      <c r="B160" s="9" t="s">
        <v>279</v>
      </c>
      <c r="C160" s="15">
        <v>1</v>
      </c>
      <c r="D160" s="18">
        <v>8.9471557711247893</v>
      </c>
      <c r="E160" s="18">
        <v>8.8222659841415521</v>
      </c>
      <c r="F160" s="18">
        <v>0.12488978698323727</v>
      </c>
      <c r="G160" s="18">
        <v>0.37156440997753709</v>
      </c>
      <c r="H160" s="18">
        <v>9.0085103608226927E-2</v>
      </c>
      <c r="I160" s="18">
        <v>8.6442566322982</v>
      </c>
      <c r="J160" s="18">
        <v>9.0002753359849041</v>
      </c>
      <c r="K160" s="18">
        <v>0.34798157956800463</v>
      </c>
      <c r="L160" s="18">
        <v>8.1346497973220764</v>
      </c>
      <c r="M160" s="18">
        <v>9.5098821709610277</v>
      </c>
    </row>
    <row r="161" spans="2:13" x14ac:dyDescent="0.15">
      <c r="B161" s="9" t="s">
        <v>280</v>
      </c>
      <c r="C161" s="15">
        <v>1</v>
      </c>
      <c r="D161" s="18">
        <v>8.851377097519439</v>
      </c>
      <c r="E161" s="18">
        <v>8.6368660542204125</v>
      </c>
      <c r="F161" s="18">
        <v>0.21451104329902648</v>
      </c>
      <c r="G161" s="18">
        <v>0.6382000575256539</v>
      </c>
      <c r="H161" s="18">
        <v>9.2447663004649308E-2</v>
      </c>
      <c r="I161" s="18">
        <v>8.4541882538766568</v>
      </c>
      <c r="J161" s="18">
        <v>8.8195438545641682</v>
      </c>
      <c r="K161" s="18">
        <v>0.34860066583636895</v>
      </c>
      <c r="L161" s="18">
        <v>7.9480265447765222</v>
      </c>
      <c r="M161" s="18">
        <v>9.325705563664302</v>
      </c>
    </row>
    <row r="162" spans="2:13" x14ac:dyDescent="0.15">
      <c r="B162" s="9" t="s">
        <v>281</v>
      </c>
      <c r="C162" s="15">
        <v>1</v>
      </c>
      <c r="D162" s="18">
        <v>8.9295677078253366</v>
      </c>
      <c r="E162" s="18">
        <v>8.6337099936238779</v>
      </c>
      <c r="F162" s="18">
        <v>0.29585771420145868</v>
      </c>
      <c r="G162" s="18">
        <v>0.88021766767303911</v>
      </c>
      <c r="H162" s="18">
        <v>8.3387691724258819E-2</v>
      </c>
      <c r="I162" s="18">
        <v>8.468934815919658</v>
      </c>
      <c r="J162" s="18">
        <v>8.7984851713280978</v>
      </c>
      <c r="K162" s="18">
        <v>0.34630818782933592</v>
      </c>
      <c r="L162" s="18">
        <v>7.9494004509314475</v>
      </c>
      <c r="M162" s="18">
        <v>9.3180195363163083</v>
      </c>
    </row>
    <row r="163" spans="2:13" x14ac:dyDescent="0.15">
      <c r="B163" s="9" t="s">
        <v>282</v>
      </c>
      <c r="C163" s="15">
        <v>1</v>
      </c>
      <c r="D163" s="18">
        <v>8.9505328362903818</v>
      </c>
      <c r="E163" s="18">
        <v>8.8950746404811483</v>
      </c>
      <c r="F163" s="18">
        <v>5.5458195809233501E-2</v>
      </c>
      <c r="G163" s="18">
        <v>0.16499581192369514</v>
      </c>
      <c r="H163" s="18">
        <v>4.9297984651431981E-2</v>
      </c>
      <c r="I163" s="18">
        <v>8.7976611731763992</v>
      </c>
      <c r="J163" s="18">
        <v>8.9924881077858974</v>
      </c>
      <c r="K163" s="18">
        <v>0.33971479967353702</v>
      </c>
      <c r="L163" s="18">
        <v>8.223793719670196</v>
      </c>
      <c r="M163" s="18">
        <v>9.5663555612921005</v>
      </c>
    </row>
    <row r="164" spans="2:13" x14ac:dyDescent="0.15">
      <c r="B164" s="9" t="s">
        <v>283</v>
      </c>
      <c r="C164" s="15">
        <v>1</v>
      </c>
      <c r="D164" s="18">
        <v>8.8363739309273885</v>
      </c>
      <c r="E164" s="18">
        <v>8.5113237288026991</v>
      </c>
      <c r="F164" s="18">
        <v>0.32505020212468949</v>
      </c>
      <c r="G164" s="18">
        <v>0.9670693615783823</v>
      </c>
      <c r="H164" s="18">
        <v>0.13273645744407345</v>
      </c>
      <c r="I164" s="18">
        <v>8.24903473973343</v>
      </c>
      <c r="J164" s="18">
        <v>8.7736127178719681</v>
      </c>
      <c r="K164" s="18">
        <v>0.36137905440318602</v>
      </c>
      <c r="L164" s="18">
        <v>7.7972339551611451</v>
      </c>
      <c r="M164" s="18">
        <v>9.225413502444253</v>
      </c>
    </row>
    <row r="165" spans="2:13" x14ac:dyDescent="0.15">
      <c r="B165" s="9" t="s">
        <v>284</v>
      </c>
      <c r="C165" s="15">
        <v>1</v>
      </c>
      <c r="D165" s="18">
        <v>8.9789126010742759</v>
      </c>
      <c r="E165" s="18">
        <v>8.7814413539836362</v>
      </c>
      <c r="F165" s="18">
        <v>0.19747124709063968</v>
      </c>
      <c r="G165" s="18">
        <v>0.58750430427597855</v>
      </c>
      <c r="H165" s="18">
        <v>6.4425446703079162E-2</v>
      </c>
      <c r="I165" s="18">
        <v>8.654135822319839</v>
      </c>
      <c r="J165" s="18">
        <v>8.9087468856474334</v>
      </c>
      <c r="K165" s="18">
        <v>0.34223747896662321</v>
      </c>
      <c r="L165" s="18">
        <v>8.105175585646462</v>
      </c>
      <c r="M165" s="18">
        <v>9.4577071223208105</v>
      </c>
    </row>
    <row r="166" spans="2:13" x14ac:dyDescent="0.15">
      <c r="B166" s="9" t="s">
        <v>285</v>
      </c>
      <c r="C166" s="15">
        <v>1</v>
      </c>
      <c r="D166" s="18">
        <v>8.9868217503318899</v>
      </c>
      <c r="E166" s="18">
        <v>8.8503937694485977</v>
      </c>
      <c r="F166" s="18">
        <v>0.13642798088329222</v>
      </c>
      <c r="G166" s="18">
        <v>0.40589213454364403</v>
      </c>
      <c r="H166" s="18">
        <v>7.5263282226324529E-2</v>
      </c>
      <c r="I166" s="18">
        <v>8.7016725319732409</v>
      </c>
      <c r="J166" s="18">
        <v>8.9991150069239545</v>
      </c>
      <c r="K166" s="18">
        <v>0.34444218016674144</v>
      </c>
      <c r="L166" s="18">
        <v>8.169771482487123</v>
      </c>
      <c r="M166" s="18">
        <v>9.5310160564100723</v>
      </c>
    </row>
    <row r="167" spans="2:13" x14ac:dyDescent="0.15">
      <c r="B167" s="9" t="s">
        <v>286</v>
      </c>
      <c r="C167" s="15">
        <v>1</v>
      </c>
      <c r="D167" s="18">
        <v>10.300920488947028</v>
      </c>
      <c r="E167" s="18">
        <v>9.9674462667011454</v>
      </c>
      <c r="F167" s="18">
        <v>0.33347422224588286</v>
      </c>
      <c r="G167" s="18">
        <v>0.99213198792740653</v>
      </c>
      <c r="H167" s="18">
        <v>5.896111107659787E-2</v>
      </c>
      <c r="I167" s="18">
        <v>9.850938334242592</v>
      </c>
      <c r="J167" s="18">
        <v>10.083954199159699</v>
      </c>
      <c r="K167" s="18">
        <v>0.34125103142104274</v>
      </c>
      <c r="L167" s="18">
        <v>9.2931297317131385</v>
      </c>
      <c r="M167" s="18">
        <v>10.641762801689152</v>
      </c>
    </row>
    <row r="168" spans="2:13" x14ac:dyDescent="0.15">
      <c r="B168" s="9" t="s">
        <v>287</v>
      </c>
      <c r="C168" s="15">
        <v>1</v>
      </c>
      <c r="D168" s="18">
        <v>8.9860711873744634</v>
      </c>
      <c r="E168" s="18">
        <v>9.0396091061843293</v>
      </c>
      <c r="F168" s="18">
        <v>-5.3537918809865914E-2</v>
      </c>
      <c r="G168" s="18">
        <v>-0.15928272194653614</v>
      </c>
      <c r="H168" s="18">
        <v>4.6222093475480862E-2</v>
      </c>
      <c r="I168" s="18">
        <v>8.9482736403763976</v>
      </c>
      <c r="J168" s="18">
        <v>9.1309445719922611</v>
      </c>
      <c r="K168" s="18">
        <v>0.3392820887577101</v>
      </c>
      <c r="L168" s="18">
        <v>8.3691832278451823</v>
      </c>
      <c r="M168" s="18">
        <v>9.7100349845234764</v>
      </c>
    </row>
    <row r="169" spans="2:13" x14ac:dyDescent="0.15">
      <c r="B169" s="9" t="s">
        <v>288</v>
      </c>
      <c r="C169" s="15">
        <v>1</v>
      </c>
      <c r="D169" s="18">
        <v>8.8997307948806963</v>
      </c>
      <c r="E169" s="18">
        <v>8.719515198899046</v>
      </c>
      <c r="F169" s="18">
        <v>0.18021559598165027</v>
      </c>
      <c r="G169" s="18">
        <v>0.53616635280721314</v>
      </c>
      <c r="H169" s="18">
        <v>6.4598211794257288E-2</v>
      </c>
      <c r="I169" s="18">
        <v>8.5918682811384368</v>
      </c>
      <c r="J169" s="18">
        <v>8.8471621166596552</v>
      </c>
      <c r="K169" s="18">
        <v>0.342270043669548</v>
      </c>
      <c r="L169" s="18">
        <v>8.0431850822797664</v>
      </c>
      <c r="M169" s="18">
        <v>9.3958453155183257</v>
      </c>
    </row>
    <row r="170" spans="2:13" x14ac:dyDescent="0.15">
      <c r="B170" s="9" t="s">
        <v>289</v>
      </c>
      <c r="C170" s="15">
        <v>1</v>
      </c>
      <c r="D170" s="18">
        <v>10.253439950714034</v>
      </c>
      <c r="E170" s="18">
        <v>9.8324767365690935</v>
      </c>
      <c r="F170" s="18">
        <v>0.42096321414494042</v>
      </c>
      <c r="G170" s="18">
        <v>1.2524238535774461</v>
      </c>
      <c r="H170" s="18">
        <v>6.7766170738481443E-2</v>
      </c>
      <c r="I170" s="18">
        <v>9.6985698901883186</v>
      </c>
      <c r="J170" s="18">
        <v>9.9663835829498684</v>
      </c>
      <c r="K170" s="18">
        <v>0.34288206095258994</v>
      </c>
      <c r="L170" s="18">
        <v>9.1549372657335493</v>
      </c>
      <c r="M170" s="18">
        <v>10.510016207404638</v>
      </c>
    </row>
    <row r="171" spans="2:13" x14ac:dyDescent="0.15">
      <c r="B171" s="9" t="s">
        <v>290</v>
      </c>
      <c r="C171" s="15">
        <v>1</v>
      </c>
      <c r="D171" s="18">
        <v>9.0941435775736714</v>
      </c>
      <c r="E171" s="18">
        <v>8.9984757405170619</v>
      </c>
      <c r="F171" s="18">
        <v>9.5667837056609528E-2</v>
      </c>
      <c r="G171" s="18">
        <v>0.28462506253243408</v>
      </c>
      <c r="H171" s="18">
        <v>5.3180329590011247E-2</v>
      </c>
      <c r="I171" s="18">
        <v>8.8933907084533459</v>
      </c>
      <c r="J171" s="18">
        <v>9.1035607725807779</v>
      </c>
      <c r="K171" s="18">
        <v>0.34029986964711112</v>
      </c>
      <c r="L171" s="18">
        <v>8.3260387137284582</v>
      </c>
      <c r="M171" s="18">
        <v>9.6709127673056656</v>
      </c>
    </row>
    <row r="172" spans="2:13" x14ac:dyDescent="0.15">
      <c r="B172" s="9" t="s">
        <v>291</v>
      </c>
      <c r="C172" s="15">
        <v>1</v>
      </c>
      <c r="D172" s="18">
        <v>9.0321701863047039</v>
      </c>
      <c r="E172" s="18">
        <v>8.9076316764724162</v>
      </c>
      <c r="F172" s="18">
        <v>0.12453850983228776</v>
      </c>
      <c r="G172" s="18">
        <v>0.37051931181151437</v>
      </c>
      <c r="H172" s="18">
        <v>5.1778840249649745E-2</v>
      </c>
      <c r="I172" s="18">
        <v>8.8053160058136442</v>
      </c>
      <c r="J172" s="18">
        <v>9.0099473471311882</v>
      </c>
      <c r="K172" s="18">
        <v>0.34008366929939066</v>
      </c>
      <c r="L172" s="18">
        <v>8.2356218644199277</v>
      </c>
      <c r="M172" s="18">
        <v>9.5796414885249046</v>
      </c>
    </row>
    <row r="173" spans="2:13" x14ac:dyDescent="0.15">
      <c r="B173" s="9" t="s">
        <v>292</v>
      </c>
      <c r="C173" s="15">
        <v>1</v>
      </c>
      <c r="D173" s="18">
        <v>9.1729499827576237</v>
      </c>
      <c r="E173" s="18">
        <v>8.7928353214102515</v>
      </c>
      <c r="F173" s="18">
        <v>0.38011466134737226</v>
      </c>
      <c r="G173" s="18">
        <v>1.1308937526357103</v>
      </c>
      <c r="H173" s="18">
        <v>8.7451378168200658E-2</v>
      </c>
      <c r="I173" s="18">
        <v>8.6200302457428073</v>
      </c>
      <c r="J173" s="18">
        <v>8.9656403970776957</v>
      </c>
      <c r="K173" s="18">
        <v>0.34730908046012304</v>
      </c>
      <c r="L173" s="18">
        <v>8.1065480016899336</v>
      </c>
      <c r="M173" s="18">
        <v>9.4791226411305693</v>
      </c>
    </row>
    <row r="174" spans="2:13" x14ac:dyDescent="0.15">
      <c r="B174" s="9" t="s">
        <v>293</v>
      </c>
      <c r="C174" s="15">
        <v>1</v>
      </c>
      <c r="D174" s="18">
        <v>8.9673766932126657</v>
      </c>
      <c r="E174" s="18">
        <v>8.9484413864221217</v>
      </c>
      <c r="F174" s="18">
        <v>1.8935306790544004E-2</v>
      </c>
      <c r="G174" s="18">
        <v>5.6335159706185307E-2</v>
      </c>
      <c r="H174" s="18">
        <v>5.9014382881198112E-2</v>
      </c>
      <c r="I174" s="18">
        <v>8.8318281881756793</v>
      </c>
      <c r="J174" s="18">
        <v>9.0650545846685642</v>
      </c>
      <c r="K174" s="18">
        <v>0.34126023971946573</v>
      </c>
      <c r="L174" s="18">
        <v>8.2741066557150855</v>
      </c>
      <c r="M174" s="18">
        <v>9.6227761171291579</v>
      </c>
    </row>
    <row r="175" spans="2:13" x14ac:dyDescent="0.15">
      <c r="B175" s="9" t="s">
        <v>294</v>
      </c>
      <c r="C175" s="15">
        <v>1</v>
      </c>
      <c r="D175" s="18">
        <v>9.1107410067534271</v>
      </c>
      <c r="E175" s="18">
        <v>8.9110431438140623</v>
      </c>
      <c r="F175" s="18">
        <v>0.19969786293936487</v>
      </c>
      <c r="G175" s="18">
        <v>0.59412879474924074</v>
      </c>
      <c r="H175" s="18">
        <v>5.8382911658053302E-2</v>
      </c>
      <c r="I175" s="18">
        <v>8.7956777410258855</v>
      </c>
      <c r="J175" s="18">
        <v>9.026408546602239</v>
      </c>
      <c r="K175" s="18">
        <v>0.34115160588836546</v>
      </c>
      <c r="L175" s="18">
        <v>8.2369230749888231</v>
      </c>
      <c r="M175" s="18">
        <v>9.5851632126393014</v>
      </c>
    </row>
    <row r="176" spans="2:13" x14ac:dyDescent="0.15">
      <c r="B176" s="9" t="s">
        <v>295</v>
      </c>
      <c r="C176" s="15">
        <v>1</v>
      </c>
      <c r="D176" s="18">
        <v>8.9717023997033252</v>
      </c>
      <c r="E176" s="18">
        <v>8.7967015101100667</v>
      </c>
      <c r="F176" s="18">
        <v>0.17500088959325844</v>
      </c>
      <c r="G176" s="18">
        <v>0.52065187921243494</v>
      </c>
      <c r="H176" s="18">
        <v>6.7308391387326152E-2</v>
      </c>
      <c r="I176" s="18">
        <v>8.6636992417596481</v>
      </c>
      <c r="J176" s="18">
        <v>8.9297037784604854</v>
      </c>
      <c r="K176" s="18">
        <v>0.3427918805597473</v>
      </c>
      <c r="L176" s="18">
        <v>8.1193402369191485</v>
      </c>
      <c r="M176" s="18">
        <v>9.4740627833009849</v>
      </c>
    </row>
    <row r="177" spans="2:13" x14ac:dyDescent="0.15">
      <c r="B177" s="9" t="s">
        <v>296</v>
      </c>
      <c r="C177" s="15">
        <v>1</v>
      </c>
      <c r="D177" s="18">
        <v>9.076694687106265</v>
      </c>
      <c r="E177" s="18">
        <v>8.8955305807763008</v>
      </c>
      <c r="F177" s="18">
        <v>0.18116410632996427</v>
      </c>
      <c r="G177" s="18">
        <v>0.53898830243529749</v>
      </c>
      <c r="H177" s="18">
        <v>5.4523721091218821E-2</v>
      </c>
      <c r="I177" s="18">
        <v>8.787790989403403</v>
      </c>
      <c r="J177" s="18">
        <v>9.0032701721491986</v>
      </c>
      <c r="K177" s="18">
        <v>0.34051239329600264</v>
      </c>
      <c r="L177" s="18">
        <v>8.2226736044569169</v>
      </c>
      <c r="M177" s="18">
        <v>9.5683875570956847</v>
      </c>
    </row>
    <row r="178" spans="2:13" x14ac:dyDescent="0.15">
      <c r="B178" s="9" t="s">
        <v>297</v>
      </c>
      <c r="C178" s="15">
        <v>1</v>
      </c>
      <c r="D178" s="18">
        <v>10.901616302625916</v>
      </c>
      <c r="E178" s="18">
        <v>10.827657450460636</v>
      </c>
      <c r="F178" s="18">
        <v>7.3958852165279865E-2</v>
      </c>
      <c r="G178" s="18">
        <v>0.22003782640046091</v>
      </c>
      <c r="H178" s="18">
        <v>0.12457793289106926</v>
      </c>
      <c r="I178" s="18">
        <v>10.581489813418605</v>
      </c>
      <c r="J178" s="18">
        <v>11.073825087502668</v>
      </c>
      <c r="K178" s="18">
        <v>0.35846271101740879</v>
      </c>
      <c r="L178" s="18">
        <v>10.119330409780046</v>
      </c>
      <c r="M178" s="18">
        <v>11.535984491141226</v>
      </c>
    </row>
    <row r="179" spans="2:13" x14ac:dyDescent="0.15">
      <c r="B179" s="9" t="s">
        <v>298</v>
      </c>
      <c r="C179" s="15">
        <v>1</v>
      </c>
      <c r="D179" s="18">
        <v>9.108750516214549</v>
      </c>
      <c r="E179" s="18">
        <v>9.197151678396521</v>
      </c>
      <c r="F179" s="18">
        <v>-8.8401162181972026E-2</v>
      </c>
      <c r="G179" s="18">
        <v>-0.2630056985514892</v>
      </c>
      <c r="H179" s="18">
        <v>7.7851836138505326E-2</v>
      </c>
      <c r="I179" s="18">
        <v>9.0433154242795357</v>
      </c>
      <c r="J179" s="18">
        <v>9.3509879325135064</v>
      </c>
      <c r="K179" s="18">
        <v>0.34501704626971008</v>
      </c>
      <c r="L179" s="18">
        <v>8.5153934484401734</v>
      </c>
      <c r="M179" s="18">
        <v>9.8789099083528686</v>
      </c>
    </row>
    <row r="180" spans="2:13" x14ac:dyDescent="0.15">
      <c r="B180" s="9" t="s">
        <v>299</v>
      </c>
      <c r="C180" s="15">
        <v>1</v>
      </c>
      <c r="D180" s="18">
        <v>8.9105857182901325</v>
      </c>
      <c r="E180" s="18">
        <v>8.7298117218911742</v>
      </c>
      <c r="F180" s="18">
        <v>0.1807739963989583</v>
      </c>
      <c r="G180" s="18">
        <v>0.53782767137136533</v>
      </c>
      <c r="H180" s="18">
        <v>8.5716497626985716E-2</v>
      </c>
      <c r="I180" s="18">
        <v>8.5604347930348865</v>
      </c>
      <c r="J180" s="18">
        <v>8.8991886507474618</v>
      </c>
      <c r="K180" s="18">
        <v>0.34687630618417226</v>
      </c>
      <c r="L180" s="18">
        <v>8.0443795698431</v>
      </c>
      <c r="M180" s="18">
        <v>9.4152438739392483</v>
      </c>
    </row>
    <row r="181" spans="2:13" x14ac:dyDescent="0.15">
      <c r="B181" s="9" t="s">
        <v>300</v>
      </c>
      <c r="C181" s="15">
        <v>1</v>
      </c>
      <c r="D181" s="18">
        <v>8.8600734243327803</v>
      </c>
      <c r="E181" s="18">
        <v>8.9074882015234778</v>
      </c>
      <c r="F181" s="18">
        <v>-4.7414777190697421E-2</v>
      </c>
      <c r="G181" s="18">
        <v>-0.1410655277476173</v>
      </c>
      <c r="H181" s="18">
        <v>5.2822381942722277E-2</v>
      </c>
      <c r="I181" s="18">
        <v>8.8031104787277279</v>
      </c>
      <c r="J181" s="18">
        <v>9.0118659243192276</v>
      </c>
      <c r="K181" s="18">
        <v>0.34024411510067504</v>
      </c>
      <c r="L181" s="18">
        <v>8.2351613464533475</v>
      </c>
      <c r="M181" s="18">
        <v>9.579815056593608</v>
      </c>
    </row>
    <row r="182" spans="2:13" x14ac:dyDescent="0.15">
      <c r="B182" s="9" t="s">
        <v>301</v>
      </c>
      <c r="C182" s="15">
        <v>1</v>
      </c>
      <c r="D182" s="18">
        <v>8.8560910552522891</v>
      </c>
      <c r="E182" s="18">
        <v>8.9130893986234963</v>
      </c>
      <c r="F182" s="18">
        <v>-5.6998343371207127E-2</v>
      </c>
      <c r="G182" s="18">
        <v>-0.16957796418743373</v>
      </c>
      <c r="H182" s="18">
        <v>6.139547648565586E-2</v>
      </c>
      <c r="I182" s="18">
        <v>8.7917711280373343</v>
      </c>
      <c r="J182" s="18">
        <v>9.0344076692096582</v>
      </c>
      <c r="K182" s="18">
        <v>0.34168005262151213</v>
      </c>
      <c r="L182" s="18">
        <v>8.2379251120898527</v>
      </c>
      <c r="M182" s="18">
        <v>9.5882536851571398</v>
      </c>
    </row>
    <row r="183" spans="2:13" x14ac:dyDescent="0.15">
      <c r="B183" s="9" t="s">
        <v>302</v>
      </c>
      <c r="C183" s="15">
        <v>1</v>
      </c>
      <c r="D183" s="18">
        <v>9.108750516214549</v>
      </c>
      <c r="E183" s="18">
        <v>9.0658205709928463</v>
      </c>
      <c r="F183" s="18">
        <v>4.2929945221702681E-2</v>
      </c>
      <c r="G183" s="18">
        <v>0.12772253161750466</v>
      </c>
      <c r="H183" s="18">
        <v>5.0946105765990173E-2</v>
      </c>
      <c r="I183" s="18">
        <v>8.9651503946473028</v>
      </c>
      <c r="J183" s="18">
        <v>9.1664907473383899</v>
      </c>
      <c r="K183" s="18">
        <v>0.33995787903688601</v>
      </c>
      <c r="L183" s="18">
        <v>8.3940593221566928</v>
      </c>
      <c r="M183" s="18">
        <v>9.7375818198289998</v>
      </c>
    </row>
    <row r="184" spans="2:13" x14ac:dyDescent="0.15">
      <c r="B184" s="9" t="s">
        <v>303</v>
      </c>
      <c r="C184" s="15">
        <v>1</v>
      </c>
      <c r="D184" s="18">
        <v>8.7983037184849788</v>
      </c>
      <c r="E184" s="18">
        <v>8.8034262723815271</v>
      </c>
      <c r="F184" s="18">
        <v>-5.1225538965482542E-3</v>
      </c>
      <c r="G184" s="18">
        <v>-1.5240307171030365E-2</v>
      </c>
      <c r="H184" s="18">
        <v>0.10581503837643434</v>
      </c>
      <c r="I184" s="18">
        <v>8.5943343621520061</v>
      </c>
      <c r="J184" s="18">
        <v>9.0125181826110481</v>
      </c>
      <c r="K184" s="18">
        <v>0.35238143562501251</v>
      </c>
      <c r="L184" s="18">
        <v>8.1071159120134677</v>
      </c>
      <c r="M184" s="18">
        <v>9.4997366327495865</v>
      </c>
    </row>
    <row r="185" spans="2:13" x14ac:dyDescent="0.15">
      <c r="B185" s="9" t="s">
        <v>304</v>
      </c>
      <c r="C185" s="15">
        <v>1</v>
      </c>
      <c r="D185" s="18">
        <v>10.224918665034282</v>
      </c>
      <c r="E185" s="18">
        <v>9.9998094225572238</v>
      </c>
      <c r="F185" s="18">
        <v>0.22510924247705866</v>
      </c>
      <c r="G185" s="18">
        <v>0.66973116763106622</v>
      </c>
      <c r="H185" s="18">
        <v>6.5754974797774451E-2</v>
      </c>
      <c r="I185" s="18">
        <v>9.8698767258582016</v>
      </c>
      <c r="J185" s="18">
        <v>10.129742119256246</v>
      </c>
      <c r="K185" s="18">
        <v>0.34249024882059714</v>
      </c>
      <c r="L185" s="18">
        <v>9.3230441776576747</v>
      </c>
      <c r="M185" s="18">
        <v>10.676574667456773</v>
      </c>
    </row>
    <row r="186" spans="2:13" x14ac:dyDescent="0.15">
      <c r="B186" s="9" t="s">
        <v>305</v>
      </c>
      <c r="C186" s="15">
        <v>1</v>
      </c>
      <c r="D186" s="18">
        <v>8.774158291205957</v>
      </c>
      <c r="E186" s="18">
        <v>8.8872767578208709</v>
      </c>
      <c r="F186" s="18">
        <v>-0.11311846661491387</v>
      </c>
      <c r="G186" s="18">
        <v>-0.33654310188691072</v>
      </c>
      <c r="H186" s="18">
        <v>6.6730950228376731E-2</v>
      </c>
      <c r="I186" s="18">
        <v>8.7554155208098763</v>
      </c>
      <c r="J186" s="18">
        <v>9.0191379948318655</v>
      </c>
      <c r="K186" s="18">
        <v>0.34267896571706974</v>
      </c>
      <c r="L186" s="18">
        <v>8.2101386058470389</v>
      </c>
      <c r="M186" s="18">
        <v>9.5644149097947029</v>
      </c>
    </row>
    <row r="187" spans="2:13" x14ac:dyDescent="0.15">
      <c r="B187" s="9" t="s">
        <v>306</v>
      </c>
      <c r="C187" s="15">
        <v>1</v>
      </c>
      <c r="D187" s="18">
        <v>8.7568398148294619</v>
      </c>
      <c r="E187" s="18">
        <v>8.6817866476803971</v>
      </c>
      <c r="F187" s="18">
        <v>7.5053167149064848E-2</v>
      </c>
      <c r="G187" s="18">
        <v>0.22329356500888867</v>
      </c>
      <c r="H187" s="18">
        <v>6.7848000507829215E-2</v>
      </c>
      <c r="I187" s="18">
        <v>8.5477181045970632</v>
      </c>
      <c r="J187" s="18">
        <v>8.815855190763731</v>
      </c>
      <c r="K187" s="18">
        <v>0.34289824292266208</v>
      </c>
      <c r="L187" s="18">
        <v>8.0042152010587486</v>
      </c>
      <c r="M187" s="18">
        <v>9.3593580943020456</v>
      </c>
    </row>
    <row r="188" spans="2:13" x14ac:dyDescent="0.15">
      <c r="B188" s="9" t="s">
        <v>307</v>
      </c>
      <c r="C188" s="15">
        <v>1</v>
      </c>
      <c r="D188" s="18">
        <v>8.8286406174182801</v>
      </c>
      <c r="E188" s="18">
        <v>8.8452278635538768</v>
      </c>
      <c r="F188" s="18">
        <v>-1.65872461355967E-2</v>
      </c>
      <c r="G188" s="18">
        <v>-4.9349354117742231E-2</v>
      </c>
      <c r="H188" s="18">
        <v>6.8333237949700379E-2</v>
      </c>
      <c r="I188" s="18">
        <v>8.7102004848910983</v>
      </c>
      <c r="J188" s="18">
        <v>8.9802552422166553</v>
      </c>
      <c r="K188" s="18">
        <v>0.34299458484825812</v>
      </c>
      <c r="L188" s="18">
        <v>8.1674660440176865</v>
      </c>
      <c r="M188" s="18">
        <v>9.5229896830900671</v>
      </c>
    </row>
    <row r="189" spans="2:13" x14ac:dyDescent="0.15">
      <c r="B189" s="9" t="s">
        <v>308</v>
      </c>
      <c r="C189" s="15">
        <v>1</v>
      </c>
      <c r="D189" s="18">
        <v>8.890823576004383</v>
      </c>
      <c r="E189" s="18">
        <v>8.8273568331538854</v>
      </c>
      <c r="F189" s="18">
        <v>6.3466742850497582E-2</v>
      </c>
      <c r="G189" s="18">
        <v>0.18882234832866182</v>
      </c>
      <c r="H189" s="18">
        <v>8.8609581975236371E-2</v>
      </c>
      <c r="I189" s="18">
        <v>8.6522631315012877</v>
      </c>
      <c r="J189" s="18">
        <v>9.0024505348064832</v>
      </c>
      <c r="K189" s="18">
        <v>0.34760251990508456</v>
      </c>
      <c r="L189" s="18">
        <v>8.1404896732234704</v>
      </c>
      <c r="M189" s="18">
        <v>9.5142239930843004</v>
      </c>
    </row>
    <row r="190" spans="2:13" x14ac:dyDescent="0.15">
      <c r="B190" s="9" t="s">
        <v>309</v>
      </c>
      <c r="C190" s="15">
        <v>1</v>
      </c>
      <c r="D190" s="18">
        <v>8.6823685893752209</v>
      </c>
      <c r="E190" s="18">
        <v>8.785531180210997</v>
      </c>
      <c r="F190" s="18">
        <v>-0.10316259083577606</v>
      </c>
      <c r="G190" s="18">
        <v>-0.30692299283682878</v>
      </c>
      <c r="H190" s="18">
        <v>6.6138194280864343E-2</v>
      </c>
      <c r="I190" s="18">
        <v>8.654841236763442</v>
      </c>
      <c r="J190" s="18">
        <v>8.916221123658552</v>
      </c>
      <c r="K190" s="18">
        <v>0.34256402988240303</v>
      </c>
      <c r="L190" s="18">
        <v>8.1086201429610565</v>
      </c>
      <c r="M190" s="18">
        <v>9.4624422174609375</v>
      </c>
    </row>
    <row r="191" spans="2:13" x14ac:dyDescent="0.15">
      <c r="B191" s="9" t="s">
        <v>310</v>
      </c>
      <c r="C191" s="15">
        <v>1</v>
      </c>
      <c r="D191" s="18">
        <v>10.077104668699937</v>
      </c>
      <c r="E191" s="18">
        <v>9.9842314107723809</v>
      </c>
      <c r="F191" s="18">
        <v>9.2873257927555741E-2</v>
      </c>
      <c r="G191" s="18">
        <v>0.2763108026533474</v>
      </c>
      <c r="H191" s="18">
        <v>6.4650853255393437E-2</v>
      </c>
      <c r="I191" s="18">
        <v>9.8564804727908744</v>
      </c>
      <c r="J191" s="18">
        <v>10.111982348753887</v>
      </c>
      <c r="K191" s="18">
        <v>0.34227998284034811</v>
      </c>
      <c r="L191" s="18">
        <v>9.3078816542206244</v>
      </c>
      <c r="M191" s="18">
        <v>10.660581167324137</v>
      </c>
    </row>
    <row r="192" spans="2:13" x14ac:dyDescent="0.15">
      <c r="B192" s="9" t="s">
        <v>311</v>
      </c>
      <c r="C192" s="15">
        <v>1</v>
      </c>
      <c r="D192" s="18">
        <v>8.8480784211686672</v>
      </c>
      <c r="E192" s="18">
        <v>8.9168253886624811</v>
      </c>
      <c r="F192" s="18">
        <v>-6.8746967493813926E-2</v>
      </c>
      <c r="G192" s="18">
        <v>-0.20453174780426522</v>
      </c>
      <c r="H192" s="18">
        <v>8.4777660748226347E-2</v>
      </c>
      <c r="I192" s="18">
        <v>8.7493036138503228</v>
      </c>
      <c r="J192" s="18">
        <v>9.0843471634746393</v>
      </c>
      <c r="K192" s="18">
        <v>0.34664550420924245</v>
      </c>
      <c r="L192" s="18">
        <v>8.2318493043583061</v>
      </c>
      <c r="M192" s="18">
        <v>9.6018014729666561</v>
      </c>
    </row>
    <row r="193" spans="2:13" x14ac:dyDescent="0.15">
      <c r="B193" s="9" t="s">
        <v>312</v>
      </c>
      <c r="C193" s="15">
        <v>1</v>
      </c>
      <c r="D193" s="18">
        <v>8.898092345579153</v>
      </c>
      <c r="E193" s="18">
        <v>8.8158123387433065</v>
      </c>
      <c r="F193" s="18">
        <v>8.2280006835846464E-2</v>
      </c>
      <c r="G193" s="18">
        <v>0.24479441378991568</v>
      </c>
      <c r="H193" s="18">
        <v>6.4984454454926177E-2</v>
      </c>
      <c r="I193" s="18">
        <v>8.6874022003954288</v>
      </c>
      <c r="J193" s="18">
        <v>8.9442224770911842</v>
      </c>
      <c r="K193" s="18">
        <v>0.34234315116172975</v>
      </c>
      <c r="L193" s="18">
        <v>8.1393377607560868</v>
      </c>
      <c r="M193" s="18">
        <v>9.4922869167305262</v>
      </c>
    </row>
    <row r="194" spans="2:13" x14ac:dyDescent="0.15">
      <c r="B194" s="9" t="s">
        <v>313</v>
      </c>
      <c r="C194" s="15">
        <v>1</v>
      </c>
      <c r="D194" s="18">
        <v>8.8623419635163465</v>
      </c>
      <c r="E194" s="18">
        <v>8.8308809401305997</v>
      </c>
      <c r="F194" s="18">
        <v>3.1461023385746856E-2</v>
      </c>
      <c r="G194" s="18">
        <v>9.360090103431383E-2</v>
      </c>
      <c r="H194" s="18">
        <v>5.2774546693953282E-2</v>
      </c>
      <c r="I194" s="18">
        <v>8.7265977404167749</v>
      </c>
      <c r="J194" s="18">
        <v>8.9351641398444244</v>
      </c>
      <c r="K194" s="18">
        <v>0.34023669203260665</v>
      </c>
      <c r="L194" s="18">
        <v>8.1585687531407913</v>
      </c>
      <c r="M194" s="18">
        <v>9.503193127120408</v>
      </c>
    </row>
    <row r="195" spans="2:13" x14ac:dyDescent="0.15">
      <c r="B195" s="9" t="s">
        <v>314</v>
      </c>
      <c r="C195" s="15">
        <v>1</v>
      </c>
      <c r="D195" s="18">
        <v>8.7760127191829174</v>
      </c>
      <c r="E195" s="18">
        <v>8.9062189838468804</v>
      </c>
      <c r="F195" s="18">
        <v>-0.13020626466396301</v>
      </c>
      <c r="G195" s="18">
        <v>-0.38738166725945355</v>
      </c>
      <c r="H195" s="18">
        <v>5.7491770137531518E-2</v>
      </c>
      <c r="I195" s="18">
        <v>8.792614488446441</v>
      </c>
      <c r="J195" s="18">
        <v>9.0198234792473198</v>
      </c>
      <c r="K195" s="18">
        <v>0.34100023087981235</v>
      </c>
      <c r="L195" s="18">
        <v>8.2323980340333165</v>
      </c>
      <c r="M195" s="18">
        <v>9.5800399336604443</v>
      </c>
    </row>
    <row r="196" spans="2:13" x14ac:dyDescent="0.15">
      <c r="B196" s="9" t="s">
        <v>315</v>
      </c>
      <c r="C196" s="15">
        <v>1</v>
      </c>
      <c r="D196" s="18">
        <v>10.084933726294128</v>
      </c>
      <c r="E196" s="18">
        <v>9.932541373016857</v>
      </c>
      <c r="F196" s="18">
        <v>0.1523923532772713</v>
      </c>
      <c r="G196" s="18">
        <v>0.4533883530296815</v>
      </c>
      <c r="H196" s="18">
        <v>7.1950085401093947E-2</v>
      </c>
      <c r="I196" s="18">
        <v>9.7903670561284333</v>
      </c>
      <c r="J196" s="18">
        <v>10.074715689905281</v>
      </c>
      <c r="K196" s="18">
        <v>0.3437334266779466</v>
      </c>
      <c r="L196" s="18">
        <v>9.2533195922889746</v>
      </c>
      <c r="M196" s="18">
        <v>10.611763153744739</v>
      </c>
    </row>
    <row r="197" spans="2:13" x14ac:dyDescent="0.15">
      <c r="B197" s="9" t="s">
        <v>316</v>
      </c>
      <c r="C197" s="15">
        <v>1</v>
      </c>
      <c r="D197" s="18">
        <v>8.9402362317984707</v>
      </c>
      <c r="E197" s="18">
        <v>8.9263574103219714</v>
      </c>
      <c r="F197" s="18">
        <v>1.3878821476499326E-2</v>
      </c>
      <c r="G197" s="18">
        <v>4.1291415716732699E-2</v>
      </c>
      <c r="H197" s="18">
        <v>8.4638623458893447E-2</v>
      </c>
      <c r="I197" s="18">
        <v>8.759110375025724</v>
      </c>
      <c r="J197" s="18">
        <v>9.0936044456182188</v>
      </c>
      <c r="K197" s="18">
        <v>0.34661152665131451</v>
      </c>
      <c r="L197" s="18">
        <v>8.2414484661200067</v>
      </c>
      <c r="M197" s="18">
        <v>9.6112663545239361</v>
      </c>
    </row>
    <row r="198" spans="2:13" x14ac:dyDescent="0.15">
      <c r="B198" s="9" t="s">
        <v>317</v>
      </c>
      <c r="C198" s="15">
        <v>1</v>
      </c>
      <c r="D198" s="18">
        <v>8.7269677749914933</v>
      </c>
      <c r="E198" s="18">
        <v>8.9288476573348312</v>
      </c>
      <c r="F198" s="18">
        <v>-0.20187988234333787</v>
      </c>
      <c r="G198" s="18">
        <v>-0.60062060462401923</v>
      </c>
      <c r="H198" s="18">
        <v>5.3310426360117444E-2</v>
      </c>
      <c r="I198" s="18">
        <v>8.8235055523390109</v>
      </c>
      <c r="J198" s="18">
        <v>9.0341897623306515</v>
      </c>
      <c r="K198" s="18">
        <v>0.34032022476666896</v>
      </c>
      <c r="L198" s="18">
        <v>8.2563704085617466</v>
      </c>
      <c r="M198" s="18">
        <v>9.6013249061079158</v>
      </c>
    </row>
    <row r="199" spans="2:13" x14ac:dyDescent="0.15">
      <c r="B199" s="9" t="s">
        <v>318</v>
      </c>
      <c r="C199" s="15">
        <v>1</v>
      </c>
      <c r="D199" s="18">
        <v>8.8972721131339867</v>
      </c>
      <c r="E199" s="18">
        <v>8.8626076313848046</v>
      </c>
      <c r="F199" s="18">
        <v>3.466448174918213E-2</v>
      </c>
      <c r="G199" s="18">
        <v>0.10313163325389231</v>
      </c>
      <c r="H199" s="18">
        <v>6.0540677333105898E-2</v>
      </c>
      <c r="I199" s="18">
        <v>8.7429784551883589</v>
      </c>
      <c r="J199" s="18">
        <v>8.9822368075812502</v>
      </c>
      <c r="K199" s="18">
        <v>0.34152749148273526</v>
      </c>
      <c r="L199" s="18">
        <v>8.1877448076717876</v>
      </c>
      <c r="M199" s="18">
        <v>9.5374704550978215</v>
      </c>
    </row>
    <row r="200" spans="2:13" x14ac:dyDescent="0.15">
      <c r="B200" s="9" t="s">
        <v>319</v>
      </c>
      <c r="C200" s="15">
        <v>1</v>
      </c>
      <c r="D200" s="18">
        <v>10.220267155811605</v>
      </c>
      <c r="E200" s="18">
        <v>10.001337914235013</v>
      </c>
      <c r="F200" s="18">
        <v>0.21892924157659266</v>
      </c>
      <c r="G200" s="18">
        <v>0.65134480919688531</v>
      </c>
      <c r="H200" s="18">
        <v>6.5734625645633524E-2</v>
      </c>
      <c r="I200" s="18">
        <v>9.8714454277287746</v>
      </c>
      <c r="J200" s="18">
        <v>10.13123040074125</v>
      </c>
      <c r="K200" s="18">
        <v>0.34248634255296978</v>
      </c>
      <c r="L200" s="18">
        <v>9.3245803881717713</v>
      </c>
      <c r="M200" s="18">
        <v>10.678095440298254</v>
      </c>
    </row>
    <row r="201" spans="2:13" x14ac:dyDescent="0.15">
      <c r="B201" s="9" t="s">
        <v>320</v>
      </c>
      <c r="C201" s="15">
        <v>1</v>
      </c>
      <c r="D201" s="18">
        <v>8.9554481223473932</v>
      </c>
      <c r="E201" s="18">
        <v>9.0004502183660229</v>
      </c>
      <c r="F201" s="18">
        <v>-4.50020960186297E-2</v>
      </c>
      <c r="G201" s="18">
        <v>-0.13388746717262745</v>
      </c>
      <c r="H201" s="18">
        <v>6.5229533789560437E-2</v>
      </c>
      <c r="I201" s="18">
        <v>8.8715558000233301</v>
      </c>
      <c r="J201" s="18">
        <v>9.1293446367087157</v>
      </c>
      <c r="K201" s="18">
        <v>0.34238975730144439</v>
      </c>
      <c r="L201" s="18">
        <v>8.3238835460325653</v>
      </c>
      <c r="M201" s="18">
        <v>9.6770168906994805</v>
      </c>
    </row>
    <row r="202" spans="2:13" x14ac:dyDescent="0.15">
      <c r="B202" s="9" t="s">
        <v>321</v>
      </c>
      <c r="C202" s="15">
        <v>1</v>
      </c>
      <c r="D202" s="18">
        <v>8.8405801884887953</v>
      </c>
      <c r="E202" s="18">
        <v>8.7919438347511196</v>
      </c>
      <c r="F202" s="18">
        <v>4.8636353737675719E-2</v>
      </c>
      <c r="G202" s="18">
        <v>0.14469988712867149</v>
      </c>
      <c r="H202" s="18">
        <v>6.0224553497072987E-2</v>
      </c>
      <c r="I202" s="18">
        <v>8.6729393234204561</v>
      </c>
      <c r="J202" s="18">
        <v>8.9109483460817831</v>
      </c>
      <c r="K202" s="18">
        <v>0.34147159570081431</v>
      </c>
      <c r="L202" s="18">
        <v>8.1171914618397558</v>
      </c>
      <c r="M202" s="18">
        <v>9.4666962076624834</v>
      </c>
    </row>
    <row r="203" spans="2:13" x14ac:dyDescent="0.15">
      <c r="B203" s="9" t="s">
        <v>322</v>
      </c>
      <c r="C203" s="15">
        <v>1</v>
      </c>
      <c r="D203" s="18">
        <v>8.7345600899529927</v>
      </c>
      <c r="E203" s="18">
        <v>8.8640298854880406</v>
      </c>
      <c r="F203" s="18">
        <v>-0.12946979553504789</v>
      </c>
      <c r="G203" s="18">
        <v>-0.38519056962079118</v>
      </c>
      <c r="H203" s="18">
        <v>6.0866997536365194E-2</v>
      </c>
      <c r="I203" s="18">
        <v>8.743755896269807</v>
      </c>
      <c r="J203" s="18">
        <v>8.9843038747062742</v>
      </c>
      <c r="K203" s="18">
        <v>0.34158548741951911</v>
      </c>
      <c r="L203" s="18">
        <v>8.1890524610396866</v>
      </c>
      <c r="M203" s="18">
        <v>9.5390073099363946</v>
      </c>
    </row>
    <row r="204" spans="2:13" x14ac:dyDescent="0.15">
      <c r="B204" s="9" t="s">
        <v>323</v>
      </c>
      <c r="C204" s="15">
        <v>1</v>
      </c>
      <c r="D204" s="18">
        <v>8.7372921125442211</v>
      </c>
      <c r="E204" s="18">
        <v>8.7156808259649488</v>
      </c>
      <c r="F204" s="18">
        <v>2.161128657927236E-2</v>
      </c>
      <c r="G204" s="18">
        <v>6.4296570125150318E-2</v>
      </c>
      <c r="H204" s="18">
        <v>7.2725659236330328E-2</v>
      </c>
      <c r="I204" s="18">
        <v>8.5719739649578273</v>
      </c>
      <c r="J204" s="18">
        <v>8.8593876869720702</v>
      </c>
      <c r="K204" s="18">
        <v>0.34389660559228757</v>
      </c>
      <c r="L204" s="18">
        <v>8.0361366015520073</v>
      </c>
      <c r="M204" s="18">
        <v>9.3952250503778902</v>
      </c>
    </row>
    <row r="205" spans="2:13" x14ac:dyDescent="0.15">
      <c r="B205" s="9" t="s">
        <v>324</v>
      </c>
      <c r="C205" s="15">
        <v>1</v>
      </c>
      <c r="D205" s="18">
        <v>8.92172453036431</v>
      </c>
      <c r="E205" s="18">
        <v>8.7753551553798594</v>
      </c>
      <c r="F205" s="18">
        <v>0.14636937498445057</v>
      </c>
      <c r="G205" s="18">
        <v>0.43546915859643437</v>
      </c>
      <c r="H205" s="18">
        <v>6.7897438229082355E-2</v>
      </c>
      <c r="I205" s="18">
        <v>8.6411889227078547</v>
      </c>
      <c r="J205" s="18">
        <v>8.9095213880518642</v>
      </c>
      <c r="K205" s="18">
        <v>0.34290802840500922</v>
      </c>
      <c r="L205" s="18">
        <v>8.0977643725161421</v>
      </c>
      <c r="M205" s="18">
        <v>9.4529459382435768</v>
      </c>
    </row>
    <row r="206" spans="2:13" x14ac:dyDescent="0.15">
      <c r="B206" s="9" t="s">
        <v>325</v>
      </c>
      <c r="C206" s="15">
        <v>1</v>
      </c>
      <c r="D206" s="18">
        <v>10.205848855956967</v>
      </c>
      <c r="E206" s="18">
        <v>9.9652547785109942</v>
      </c>
      <c r="F206" s="18">
        <v>0.24059407744597294</v>
      </c>
      <c r="G206" s="18">
        <v>0.71580069587516848</v>
      </c>
      <c r="H206" s="18">
        <v>6.1224407784250652E-2</v>
      </c>
      <c r="I206" s="18">
        <v>9.8442745419330979</v>
      </c>
      <c r="J206" s="18">
        <v>10.08623501508889</v>
      </c>
      <c r="K206" s="18">
        <v>0.34164935523877515</v>
      </c>
      <c r="L206" s="18">
        <v>9.2901511504101606</v>
      </c>
      <c r="M206" s="18">
        <v>10.640358406611828</v>
      </c>
    </row>
    <row r="207" spans="2:13" x14ac:dyDescent="0.15">
      <c r="B207" s="9" t="s">
        <v>326</v>
      </c>
      <c r="C207" s="15">
        <v>1</v>
      </c>
      <c r="D207" s="18">
        <v>8.9602109555769864</v>
      </c>
      <c r="E207" s="18">
        <v>9.0015410707240555</v>
      </c>
      <c r="F207" s="18">
        <v>-4.133011514706908E-2</v>
      </c>
      <c r="G207" s="18">
        <v>-0.12296281561426302</v>
      </c>
      <c r="H207" s="18">
        <v>5.7362347876684622E-2</v>
      </c>
      <c r="I207" s="18">
        <v>8.8881923154165356</v>
      </c>
      <c r="J207" s="18">
        <v>9.1148898260315754</v>
      </c>
      <c r="K207" s="18">
        <v>0.34097843448004794</v>
      </c>
      <c r="L207" s="18">
        <v>8.3277631908836511</v>
      </c>
      <c r="M207" s="18">
        <v>9.6753189505644599</v>
      </c>
    </row>
    <row r="208" spans="2:13" x14ac:dyDescent="0.15">
      <c r="B208" s="9" t="s">
        <v>327</v>
      </c>
      <c r="C208" s="15">
        <v>1</v>
      </c>
      <c r="D208" s="18">
        <v>8.9089649723923987</v>
      </c>
      <c r="E208" s="18">
        <v>8.8679537125329837</v>
      </c>
      <c r="F208" s="18">
        <v>4.1011259859415006E-2</v>
      </c>
      <c r="G208" s="18">
        <v>0.12201417698105513</v>
      </c>
      <c r="H208" s="18">
        <v>5.6079279799667189E-2</v>
      </c>
      <c r="I208" s="18">
        <v>8.7571403166535227</v>
      </c>
      <c r="J208" s="18">
        <v>8.9787671084124447</v>
      </c>
      <c r="K208" s="18">
        <v>0.34076493283404019</v>
      </c>
      <c r="L208" s="18">
        <v>8.1945977147585491</v>
      </c>
      <c r="M208" s="18">
        <v>9.5413097103074183</v>
      </c>
    </row>
    <row r="209" spans="2:13" x14ac:dyDescent="0.15">
      <c r="B209" s="9" t="s">
        <v>328</v>
      </c>
      <c r="C209" s="15">
        <v>1</v>
      </c>
      <c r="D209" s="18">
        <v>8.7629589207667262</v>
      </c>
      <c r="E209" s="18">
        <v>8.8132455564740049</v>
      </c>
      <c r="F209" s="18">
        <v>-5.0286635707278649E-2</v>
      </c>
      <c r="G209" s="18">
        <v>-0.14960970450560707</v>
      </c>
      <c r="H209" s="18">
        <v>5.5737455058085215E-2</v>
      </c>
      <c r="I209" s="18">
        <v>8.7031076107883703</v>
      </c>
      <c r="J209" s="18">
        <v>8.9233835021596395</v>
      </c>
      <c r="K209" s="18">
        <v>0.34070884597100004</v>
      </c>
      <c r="L209" s="18">
        <v>8.1400003870800326</v>
      </c>
      <c r="M209" s="18">
        <v>9.4864907258679771</v>
      </c>
    </row>
    <row r="210" spans="2:13" x14ac:dyDescent="0.15">
      <c r="B210" s="9" t="s">
        <v>329</v>
      </c>
      <c r="C210" s="15">
        <v>1</v>
      </c>
      <c r="D210" s="18">
        <v>8.798605650854423</v>
      </c>
      <c r="E210" s="18">
        <v>8.7704214133436267</v>
      </c>
      <c r="F210" s="18">
        <v>2.8184237510796351E-2</v>
      </c>
      <c r="G210" s="18">
        <v>8.3852009314191581E-2</v>
      </c>
      <c r="H210" s="18">
        <v>5.9679682524145676E-2</v>
      </c>
      <c r="I210" s="18">
        <v>8.6524935742356082</v>
      </c>
      <c r="J210" s="18">
        <v>8.8883492524516452</v>
      </c>
      <c r="K210" s="18">
        <v>0.34137591938026529</v>
      </c>
      <c r="L210" s="18">
        <v>8.095858098102461</v>
      </c>
      <c r="M210" s="18">
        <v>9.4449847285847923</v>
      </c>
    </row>
    <row r="211" spans="2:13" x14ac:dyDescent="0.15">
      <c r="B211" s="9" t="s">
        <v>330</v>
      </c>
      <c r="C211" s="15">
        <v>1</v>
      </c>
      <c r="D211" s="18">
        <v>8.6638875705670415</v>
      </c>
      <c r="E211" s="18">
        <v>8.669512322985371</v>
      </c>
      <c r="F211" s="18">
        <v>-5.6247524183294928E-3</v>
      </c>
      <c r="G211" s="18">
        <v>-1.6734417313617786E-2</v>
      </c>
      <c r="H211" s="18">
        <v>0.11571739205348518</v>
      </c>
      <c r="I211" s="18">
        <v>8.4408532313998581</v>
      </c>
      <c r="J211" s="18">
        <v>8.8981714145708839</v>
      </c>
      <c r="K211" s="18">
        <v>0.35548047576512354</v>
      </c>
      <c r="L211" s="18">
        <v>7.967078218462265</v>
      </c>
      <c r="M211" s="18">
        <v>9.3719464275084761</v>
      </c>
    </row>
    <row r="212" spans="2:13" x14ac:dyDescent="0.15">
      <c r="B212" s="9" t="s">
        <v>331</v>
      </c>
      <c r="C212" s="15">
        <v>1</v>
      </c>
      <c r="D212" s="18">
        <v>8.8486528862139053</v>
      </c>
      <c r="E212" s="18">
        <v>8.873311986865156</v>
      </c>
      <c r="F212" s="18">
        <v>-2.4659100651250654E-2</v>
      </c>
      <c r="G212" s="18">
        <v>-7.3364239025313055E-2</v>
      </c>
      <c r="H212" s="18">
        <v>6.6313608708431324E-2</v>
      </c>
      <c r="I212" s="18">
        <v>8.7422754221971708</v>
      </c>
      <c r="J212" s="18">
        <v>9.0043485515331412</v>
      </c>
      <c r="K212" s="18">
        <v>0.34259794004995642</v>
      </c>
      <c r="L212" s="18">
        <v>8.1963339426772723</v>
      </c>
      <c r="M212" s="18">
        <v>9.5502900310530396</v>
      </c>
    </row>
    <row r="213" spans="2:13" x14ac:dyDescent="0.15">
      <c r="B213" s="9" t="s">
        <v>332</v>
      </c>
      <c r="C213" s="15">
        <v>1</v>
      </c>
      <c r="D213" s="18">
        <v>11.313071102883967</v>
      </c>
      <c r="E213" s="18">
        <v>10.726281563622928</v>
      </c>
      <c r="F213" s="18">
        <v>0.58678953926103894</v>
      </c>
      <c r="G213" s="18">
        <v>1.7457801330526956</v>
      </c>
      <c r="H213" s="18">
        <v>0.10124324195295849</v>
      </c>
      <c r="I213" s="18">
        <v>10.526223583371907</v>
      </c>
      <c r="J213" s="18">
        <v>10.926339543873949</v>
      </c>
      <c r="K213" s="18">
        <v>0.35103567890982801</v>
      </c>
      <c r="L213" s="18">
        <v>10.032630436258037</v>
      </c>
      <c r="M213" s="18">
        <v>11.419932690987819</v>
      </c>
    </row>
    <row r="214" spans="2:13" x14ac:dyDescent="0.15">
      <c r="B214" s="9" t="s">
        <v>333</v>
      </c>
      <c r="C214" s="15">
        <v>1</v>
      </c>
      <c r="D214" s="18">
        <v>8.9911888419315105</v>
      </c>
      <c r="E214" s="18">
        <v>9.3698027539208439</v>
      </c>
      <c r="F214" s="18">
        <v>-0.37861391198933347</v>
      </c>
      <c r="G214" s="18">
        <v>-1.1264288154842146</v>
      </c>
      <c r="H214" s="18">
        <v>9.1380835275306702E-2</v>
      </c>
      <c r="I214" s="18">
        <v>9.1892330192285936</v>
      </c>
      <c r="J214" s="18">
        <v>9.5503724886130943</v>
      </c>
      <c r="K214" s="18">
        <v>0.34831926573497385</v>
      </c>
      <c r="L214" s="18">
        <v>8.6815192947855131</v>
      </c>
      <c r="M214" s="18">
        <v>10.058086213056175</v>
      </c>
    </row>
    <row r="215" spans="2:13" x14ac:dyDescent="0.15">
      <c r="B215" s="9" t="s">
        <v>334</v>
      </c>
      <c r="C215" s="15">
        <v>1</v>
      </c>
      <c r="D215" s="18">
        <v>8.7565250029269723</v>
      </c>
      <c r="E215" s="18">
        <v>8.8419013947995353</v>
      </c>
      <c r="F215" s="18">
        <v>-8.5376391872562962E-2</v>
      </c>
      <c r="G215" s="18">
        <v>-0.25400658803587911</v>
      </c>
      <c r="H215" s="18">
        <v>6.0694316247276746E-2</v>
      </c>
      <c r="I215" s="18">
        <v>8.721968626084081</v>
      </c>
      <c r="J215" s="18">
        <v>8.9618341635149896</v>
      </c>
      <c r="K215" s="18">
        <v>0.3415547596671184</v>
      </c>
      <c r="L215" s="18">
        <v>8.1669846887948463</v>
      </c>
      <c r="M215" s="18">
        <v>9.5168181008042243</v>
      </c>
    </row>
    <row r="216" spans="2:13" x14ac:dyDescent="0.15">
      <c r="B216" s="9" t="s">
        <v>335</v>
      </c>
      <c r="C216" s="15">
        <v>1</v>
      </c>
      <c r="D216" s="18">
        <v>8.7155521259078164</v>
      </c>
      <c r="E216" s="18">
        <v>8.6506223704770022</v>
      </c>
      <c r="F216" s="18">
        <v>6.492975543081414E-2</v>
      </c>
      <c r="G216" s="18">
        <v>0.19317501334095782</v>
      </c>
      <c r="H216" s="18">
        <v>9.1458522793611149E-2</v>
      </c>
      <c r="I216" s="18">
        <v>8.46989912422484</v>
      </c>
      <c r="J216" s="18">
        <v>8.8313456167291644</v>
      </c>
      <c r="K216" s="18">
        <v>0.34833965496068353</v>
      </c>
      <c r="L216" s="18">
        <v>7.9622986219629865</v>
      </c>
      <c r="M216" s="18">
        <v>9.3389461189910179</v>
      </c>
    </row>
    <row r="217" spans="2:13" x14ac:dyDescent="0.15">
      <c r="B217" s="9" t="s">
        <v>336</v>
      </c>
      <c r="C217" s="15">
        <v>1</v>
      </c>
      <c r="D217" s="18">
        <v>8.6567812056232913</v>
      </c>
      <c r="E217" s="18">
        <v>8.7927834054806535</v>
      </c>
      <c r="F217" s="18">
        <v>-0.13600219985736217</v>
      </c>
      <c r="G217" s="18">
        <v>-0.40462537703287521</v>
      </c>
      <c r="H217" s="18">
        <v>6.2516641408422113E-2</v>
      </c>
      <c r="I217" s="18">
        <v>8.6692496982327416</v>
      </c>
      <c r="J217" s="18">
        <v>8.9163171127285654</v>
      </c>
      <c r="K217" s="18">
        <v>0.34188329043626542</v>
      </c>
      <c r="L217" s="18">
        <v>8.1172175183468536</v>
      </c>
      <c r="M217" s="18">
        <v>9.4683492926144535</v>
      </c>
    </row>
    <row r="218" spans="2:13" x14ac:dyDescent="0.15">
      <c r="B218" s="9" t="s">
        <v>337</v>
      </c>
      <c r="C218" s="15">
        <v>1</v>
      </c>
      <c r="D218" s="18">
        <v>8.77539495854551</v>
      </c>
      <c r="E218" s="18">
        <v>8.8189827935111591</v>
      </c>
      <c r="F218" s="18">
        <v>-4.3587834965649108E-2</v>
      </c>
      <c r="G218" s="18">
        <v>-0.12967984470486332</v>
      </c>
      <c r="H218" s="18">
        <v>5.4996453284426143E-2</v>
      </c>
      <c r="I218" s="18">
        <v>8.7103090770949656</v>
      </c>
      <c r="J218" s="18">
        <v>8.9276565099273526</v>
      </c>
      <c r="K218" s="18">
        <v>0.34058840805348123</v>
      </c>
      <c r="L218" s="18">
        <v>8.1459756110292982</v>
      </c>
      <c r="M218" s="18">
        <v>9.49198997599302</v>
      </c>
    </row>
    <row r="219" spans="2:13" x14ac:dyDescent="0.15">
      <c r="B219" s="9" t="s">
        <v>338</v>
      </c>
      <c r="C219" s="15">
        <v>1</v>
      </c>
      <c r="D219" s="18">
        <v>8.9528641415814683</v>
      </c>
      <c r="E219" s="18">
        <v>8.8800915385787285</v>
      </c>
      <c r="F219" s="18">
        <v>7.27726030027398E-2</v>
      </c>
      <c r="G219" s="18">
        <v>0.21650857087995379</v>
      </c>
      <c r="H219" s="18">
        <v>5.5869526125660991E-2</v>
      </c>
      <c r="I219" s="18">
        <v>8.7696926187231714</v>
      </c>
      <c r="J219" s="18">
        <v>8.9904904584342855</v>
      </c>
      <c r="K219" s="18">
        <v>0.34073047673497669</v>
      </c>
      <c r="L219" s="18">
        <v>8.2068036265100961</v>
      </c>
      <c r="M219" s="18">
        <v>9.5533794506473608</v>
      </c>
    </row>
    <row r="220" spans="2:13" x14ac:dyDescent="0.15">
      <c r="B220" s="9" t="s">
        <v>339</v>
      </c>
      <c r="C220" s="15">
        <v>1</v>
      </c>
      <c r="D220" s="18">
        <v>8.8741680903639679</v>
      </c>
      <c r="E220" s="18">
        <v>8.857088295337185</v>
      </c>
      <c r="F220" s="18">
        <v>1.7079795026782918E-2</v>
      </c>
      <c r="G220" s="18">
        <v>5.0814755273108608E-2</v>
      </c>
      <c r="H220" s="18">
        <v>5.3505643978104422E-2</v>
      </c>
      <c r="I220" s="18">
        <v>8.7513604377557037</v>
      </c>
      <c r="J220" s="18">
        <v>8.9628161529186663</v>
      </c>
      <c r="K220" s="18">
        <v>0.34035085979625529</v>
      </c>
      <c r="L220" s="18">
        <v>8.1845505113419392</v>
      </c>
      <c r="M220" s="18">
        <v>9.5296260793324308</v>
      </c>
    </row>
    <row r="221" spans="2:13" x14ac:dyDescent="0.15">
      <c r="B221" s="9" t="s">
        <v>340</v>
      </c>
      <c r="C221" s="15">
        <v>1</v>
      </c>
      <c r="D221" s="18">
        <v>8.8528079176233216</v>
      </c>
      <c r="E221" s="18">
        <v>8.7613454620318656</v>
      </c>
      <c r="F221" s="18">
        <v>9.1462455591456049E-2</v>
      </c>
      <c r="G221" s="18">
        <v>0.27211347034723837</v>
      </c>
      <c r="H221" s="18">
        <v>6.0182896033730192E-2</v>
      </c>
      <c r="I221" s="18">
        <v>8.6424232663977172</v>
      </c>
      <c r="J221" s="18">
        <v>8.880267657666014</v>
      </c>
      <c r="K221" s="18">
        <v>0.3414642511325971</v>
      </c>
      <c r="L221" s="18">
        <v>8.0866076020840829</v>
      </c>
      <c r="M221" s="18">
        <v>9.4360833219796483</v>
      </c>
    </row>
    <row r="222" spans="2:13" x14ac:dyDescent="0.15">
      <c r="B222" s="9" t="s">
        <v>341</v>
      </c>
      <c r="C222" s="15">
        <v>1</v>
      </c>
      <c r="D222" s="18">
        <v>10.258606286207554</v>
      </c>
      <c r="E222" s="18">
        <v>9.9548167955453106</v>
      </c>
      <c r="F222" s="18">
        <v>0.30378949066224337</v>
      </c>
      <c r="G222" s="18">
        <v>0.90381580097052605</v>
      </c>
      <c r="H222" s="18">
        <v>5.7782611000282445E-2</v>
      </c>
      <c r="I222" s="18">
        <v>9.8406375947674647</v>
      </c>
      <c r="J222" s="18">
        <v>10.068995996323157</v>
      </c>
      <c r="K222" s="18">
        <v>0.34104938639520893</v>
      </c>
      <c r="L222" s="18">
        <v>9.2808987137855663</v>
      </c>
      <c r="M222" s="18">
        <v>10.628734877305055</v>
      </c>
    </row>
    <row r="223" spans="2:13" x14ac:dyDescent="0.15">
      <c r="B223" s="9" t="s">
        <v>342</v>
      </c>
      <c r="C223" s="15">
        <v>1</v>
      </c>
      <c r="D223" s="18">
        <v>8.9550609506319017</v>
      </c>
      <c r="E223" s="18">
        <v>8.9615366240115346</v>
      </c>
      <c r="F223" s="18">
        <v>-6.4756733796329513E-3</v>
      </c>
      <c r="G223" s="18">
        <v>-1.9266025001976439E-2</v>
      </c>
      <c r="H223" s="18">
        <v>6.0491968752073161E-2</v>
      </c>
      <c r="I223" s="18">
        <v>8.8420036966130748</v>
      </c>
      <c r="J223" s="18">
        <v>9.0810695514099944</v>
      </c>
      <c r="K223" s="18">
        <v>0.34151886054805286</v>
      </c>
      <c r="L223" s="18">
        <v>8.2866908551391862</v>
      </c>
      <c r="M223" s="18">
        <v>9.636382392883883</v>
      </c>
    </row>
    <row r="224" spans="2:13" x14ac:dyDescent="0.15">
      <c r="B224" s="9" t="s">
        <v>343</v>
      </c>
      <c r="C224" s="15">
        <v>1</v>
      </c>
      <c r="D224" s="18">
        <v>9.0805733139171174</v>
      </c>
      <c r="E224" s="18">
        <v>8.8428641269750194</v>
      </c>
      <c r="F224" s="18">
        <v>0.23770918694209797</v>
      </c>
      <c r="G224" s="18">
        <v>0.7072177471504183</v>
      </c>
      <c r="H224" s="18">
        <v>5.3810060479931511E-2</v>
      </c>
      <c r="I224" s="18">
        <v>8.7365347383744218</v>
      </c>
      <c r="J224" s="18">
        <v>8.949193515575617</v>
      </c>
      <c r="K224" s="18">
        <v>0.34039884905121587</v>
      </c>
      <c r="L224" s="18">
        <v>8.1702315155795837</v>
      </c>
      <c r="M224" s="18">
        <v>9.5154967383704552</v>
      </c>
    </row>
    <row r="225" spans="2:13" x14ac:dyDescent="0.15">
      <c r="B225" s="9" t="s">
        <v>344</v>
      </c>
      <c r="C225" s="15">
        <v>1</v>
      </c>
      <c r="D225" s="18">
        <v>8.9572529442889017</v>
      </c>
      <c r="E225" s="18">
        <v>8.9375383982164323</v>
      </c>
      <c r="F225" s="18">
        <v>1.9714546072469474E-2</v>
      </c>
      <c r="G225" s="18">
        <v>5.86535044725097E-2</v>
      </c>
      <c r="H225" s="18">
        <v>5.3804259617075648E-2</v>
      </c>
      <c r="I225" s="18">
        <v>8.8312204721972805</v>
      </c>
      <c r="J225" s="18">
        <v>9.0438563242355841</v>
      </c>
      <c r="K225" s="18">
        <v>0.34039793210223862</v>
      </c>
      <c r="L225" s="18">
        <v>8.2649075987242586</v>
      </c>
      <c r="M225" s="18">
        <v>9.6101691977086059</v>
      </c>
    </row>
    <row r="226" spans="2:13" x14ac:dyDescent="0.15">
      <c r="B226" s="9" t="s">
        <v>345</v>
      </c>
      <c r="C226" s="15">
        <v>1</v>
      </c>
      <c r="D226" s="18">
        <v>8.9316841107317142</v>
      </c>
      <c r="E226" s="18">
        <v>8.8849179430788716</v>
      </c>
      <c r="F226" s="18">
        <v>4.6766167652842583E-2</v>
      </c>
      <c r="G226" s="18">
        <v>0.1391358245584271</v>
      </c>
      <c r="H226" s="18">
        <v>6.4859305932362138E-2</v>
      </c>
      <c r="I226" s="18">
        <v>8.7567550998607491</v>
      </c>
      <c r="J226" s="18">
        <v>9.0130807862969942</v>
      </c>
      <c r="K226" s="18">
        <v>0.34231941720061149</v>
      </c>
      <c r="L226" s="18">
        <v>8.20849026371158</v>
      </c>
      <c r="M226" s="18">
        <v>9.5613456224461633</v>
      </c>
    </row>
    <row r="227" spans="2:13" x14ac:dyDescent="0.15">
      <c r="B227" s="9" t="s">
        <v>346</v>
      </c>
      <c r="C227" s="15">
        <v>1</v>
      </c>
      <c r="D227" s="18">
        <v>8.8902728393802466</v>
      </c>
      <c r="E227" s="18">
        <v>8.8396716901768535</v>
      </c>
      <c r="F227" s="18">
        <v>5.0601149203393092E-2</v>
      </c>
      <c r="G227" s="18">
        <v>0.15054542570776927</v>
      </c>
      <c r="H227" s="18">
        <v>6.0797489191858234E-2</v>
      </c>
      <c r="I227" s="18">
        <v>8.7195350503633264</v>
      </c>
      <c r="J227" s="18">
        <v>8.9598083299903806</v>
      </c>
      <c r="K227" s="18">
        <v>0.3415731085998614</v>
      </c>
      <c r="L227" s="18">
        <v>8.1647187264392667</v>
      </c>
      <c r="M227" s="18">
        <v>9.5146246539144403</v>
      </c>
    </row>
    <row r="228" spans="2:13" x14ac:dyDescent="0.15">
      <c r="B228" s="9" t="s">
        <v>347</v>
      </c>
      <c r="C228" s="15">
        <v>1</v>
      </c>
      <c r="D228" s="18">
        <v>10.126231023828998</v>
      </c>
      <c r="E228" s="18">
        <v>9.9767990178097783</v>
      </c>
      <c r="F228" s="18">
        <v>0.1494320060192198</v>
      </c>
      <c r="G228" s="18">
        <v>0.44458091001263028</v>
      </c>
      <c r="H228" s="18">
        <v>6.7634733855446258E-2</v>
      </c>
      <c r="I228" s="18">
        <v>9.8431518924419148</v>
      </c>
      <c r="J228" s="18">
        <v>10.110446143177642</v>
      </c>
      <c r="K228" s="18">
        <v>0.34285610837527108</v>
      </c>
      <c r="L228" s="18">
        <v>9.299310829609011</v>
      </c>
      <c r="M228" s="18">
        <v>10.654287206010546</v>
      </c>
    </row>
    <row r="229" spans="2:13" x14ac:dyDescent="0.15">
      <c r="B229" s="9" t="s">
        <v>348</v>
      </c>
      <c r="C229" s="15">
        <v>1</v>
      </c>
      <c r="D229" s="18">
        <v>8.8174459210418696</v>
      </c>
      <c r="E229" s="18">
        <v>9.3970160650825427</v>
      </c>
      <c r="F229" s="18">
        <v>-0.57957014404067309</v>
      </c>
      <c r="G229" s="18">
        <v>-1.7243014325901034</v>
      </c>
      <c r="H229" s="18">
        <v>5.6706038981760118E-2</v>
      </c>
      <c r="I229" s="18">
        <v>9.2849641848000282</v>
      </c>
      <c r="J229" s="18">
        <v>9.5090679453650573</v>
      </c>
      <c r="K229" s="18">
        <v>0.34086863845701537</v>
      </c>
      <c r="L229" s="18">
        <v>8.7234551436305097</v>
      </c>
      <c r="M229" s="18">
        <v>10.070576986534576</v>
      </c>
    </row>
    <row r="230" spans="2:13" x14ac:dyDescent="0.15">
      <c r="B230" s="9" t="s">
        <v>349</v>
      </c>
      <c r="C230" s="15">
        <v>1</v>
      </c>
      <c r="D230" s="18">
        <v>10.537521468603567</v>
      </c>
      <c r="E230" s="18">
        <v>10.693579276328595</v>
      </c>
      <c r="F230" s="18">
        <v>-0.15605780772502875</v>
      </c>
      <c r="G230" s="18">
        <v>-0.46429358757350642</v>
      </c>
      <c r="H230" s="18">
        <v>0.12431668849401122</v>
      </c>
      <c r="I230" s="18">
        <v>10.447927861657748</v>
      </c>
      <c r="J230" s="18">
        <v>10.939230690999443</v>
      </c>
      <c r="K230" s="18">
        <v>0.35837200346100645</v>
      </c>
      <c r="L230" s="18">
        <v>9.9854314749747708</v>
      </c>
      <c r="M230" s="18">
        <v>11.40172707768242</v>
      </c>
    </row>
    <row r="231" spans="2:13" x14ac:dyDescent="0.15">
      <c r="B231" s="9" t="s">
        <v>350</v>
      </c>
      <c r="C231" s="15">
        <v>1</v>
      </c>
      <c r="D231" s="18">
        <v>9.0819386571716585</v>
      </c>
      <c r="E231" s="18">
        <v>9.5806494322978502</v>
      </c>
      <c r="F231" s="18">
        <v>-0.49871077512619166</v>
      </c>
      <c r="G231" s="18">
        <v>-1.4837336133344114</v>
      </c>
      <c r="H231" s="18">
        <v>5.7223990547997879E-2</v>
      </c>
      <c r="I231" s="18">
        <v>9.4675740728950455</v>
      </c>
      <c r="J231" s="18">
        <v>9.6937247917006548</v>
      </c>
      <c r="K231" s="18">
        <v>0.34095518608869396</v>
      </c>
      <c r="L231" s="18">
        <v>8.906917491585121</v>
      </c>
      <c r="M231" s="18">
        <v>10.254381373010579</v>
      </c>
    </row>
    <row r="232" spans="2:13" x14ac:dyDescent="0.15">
      <c r="B232" s="9" t="s">
        <v>351</v>
      </c>
      <c r="C232" s="15">
        <v>1</v>
      </c>
      <c r="D232" s="18">
        <v>8.8595054845191328</v>
      </c>
      <c r="E232" s="18">
        <v>9.2739078759121121</v>
      </c>
      <c r="F232" s="18">
        <v>-0.4144023913929793</v>
      </c>
      <c r="G232" s="18">
        <v>-1.232904497402014</v>
      </c>
      <c r="H232" s="18">
        <v>5.7245467442144808E-2</v>
      </c>
      <c r="I232" s="18">
        <v>9.1607900778834566</v>
      </c>
      <c r="J232" s="18">
        <v>9.3870256739407676</v>
      </c>
      <c r="K232" s="18">
        <v>0.34095879130652762</v>
      </c>
      <c r="L232" s="18">
        <v>8.600168811241435</v>
      </c>
      <c r="M232" s="18">
        <v>9.9476469405827892</v>
      </c>
    </row>
    <row r="233" spans="2:13" x14ac:dyDescent="0.15">
      <c r="B233" s="9" t="s">
        <v>352</v>
      </c>
      <c r="C233" s="15">
        <v>1</v>
      </c>
      <c r="D233" s="18">
        <v>8.7646780741166062</v>
      </c>
      <c r="E233" s="18">
        <v>9.0851669429233191</v>
      </c>
      <c r="F233" s="18">
        <v>-0.3204888688067129</v>
      </c>
      <c r="G233" s="18">
        <v>-0.95349876334177597</v>
      </c>
      <c r="H233" s="18">
        <v>5.697776771491124E-2</v>
      </c>
      <c r="I233" s="18">
        <v>8.9725781230833412</v>
      </c>
      <c r="J233" s="18">
        <v>9.1977557627632969</v>
      </c>
      <c r="K233" s="18">
        <v>0.34091394785240597</v>
      </c>
      <c r="L233" s="18">
        <v>8.4115164895089194</v>
      </c>
      <c r="M233" s="18">
        <v>9.7588173963377187</v>
      </c>
    </row>
    <row r="234" spans="2:13" x14ac:dyDescent="0.15">
      <c r="B234" s="9" t="s">
        <v>353</v>
      </c>
      <c r="C234" s="15">
        <v>1</v>
      </c>
      <c r="D234" s="18">
        <v>8.3735537412146268</v>
      </c>
      <c r="E234" s="18">
        <v>8.4491535761854113</v>
      </c>
      <c r="F234" s="18">
        <v>-7.5599834970784485E-2</v>
      </c>
      <c r="G234" s="18">
        <v>-0.22491997747653283</v>
      </c>
      <c r="H234" s="18">
        <v>7.2388859020777768E-2</v>
      </c>
      <c r="I234" s="18">
        <v>8.3061122368424698</v>
      </c>
      <c r="J234" s="18">
        <v>8.5921949155283528</v>
      </c>
      <c r="K234" s="18">
        <v>0.34382553822668349</v>
      </c>
      <c r="L234" s="18">
        <v>7.7697497818234069</v>
      </c>
      <c r="M234" s="18">
        <v>9.1285573705474157</v>
      </c>
    </row>
    <row r="235" spans="2:13" x14ac:dyDescent="0.15">
      <c r="B235" s="9" t="s">
        <v>354</v>
      </c>
      <c r="C235" s="15">
        <v>1</v>
      </c>
      <c r="D235" s="18">
        <v>8.5794165345963691</v>
      </c>
      <c r="E235" s="18">
        <v>8.4750311423009919</v>
      </c>
      <c r="F235" s="18">
        <v>0.10438539229537724</v>
      </c>
      <c r="G235" s="18">
        <v>0.31056099650255181</v>
      </c>
      <c r="H235" s="18">
        <v>9.2858045767873973E-2</v>
      </c>
      <c r="I235" s="18">
        <v>8.2915424202092076</v>
      </c>
      <c r="J235" s="18">
        <v>8.6585198643927761</v>
      </c>
      <c r="K235" s="18">
        <v>0.34870972239151454</v>
      </c>
      <c r="L235" s="18">
        <v>7.7859761356670205</v>
      </c>
      <c r="M235" s="18">
        <v>9.1640861489349632</v>
      </c>
    </row>
    <row r="236" spans="2:13" x14ac:dyDescent="0.15">
      <c r="B236" s="9" t="s">
        <v>355</v>
      </c>
      <c r="C236" s="15">
        <v>1</v>
      </c>
      <c r="D236" s="18">
        <v>10.858883606290863</v>
      </c>
      <c r="E236" s="18">
        <v>9.2225033205701692</v>
      </c>
      <c r="F236" s="18">
        <v>1.6363802857206942</v>
      </c>
      <c r="G236" s="18">
        <v>4.8684579423959775</v>
      </c>
      <c r="H236" s="18">
        <v>5.3097539465132938E-2</v>
      </c>
      <c r="I236" s="18">
        <v>9.1175818828841955</v>
      </c>
      <c r="J236" s="18">
        <v>9.3274247582561429</v>
      </c>
      <c r="K236" s="18">
        <v>0.3402869414535179</v>
      </c>
      <c r="L236" s="18">
        <v>8.5500918400624695</v>
      </c>
      <c r="M236" s="18">
        <v>9.8949148010778689</v>
      </c>
    </row>
    <row r="237" spans="2:13" x14ac:dyDescent="0.15">
      <c r="B237" s="9" t="s">
        <v>356</v>
      </c>
      <c r="C237" s="15">
        <v>1</v>
      </c>
      <c r="D237" s="18">
        <v>8.6904740035580428</v>
      </c>
      <c r="E237" s="18">
        <v>8.696831722069696</v>
      </c>
      <c r="F237" s="18">
        <v>-6.357718511653232E-3</v>
      </c>
      <c r="G237" s="18">
        <v>-1.8915092936324464E-2</v>
      </c>
      <c r="H237" s="18">
        <v>6.1606946981550711E-2</v>
      </c>
      <c r="I237" s="18">
        <v>8.5750955829969531</v>
      </c>
      <c r="J237" s="18">
        <v>8.818567861142439</v>
      </c>
      <c r="K237" s="18">
        <v>0.34171811444950673</v>
      </c>
      <c r="L237" s="18">
        <v>8.0215922248623688</v>
      </c>
      <c r="M237" s="18">
        <v>9.3720712192770232</v>
      </c>
    </row>
    <row r="238" spans="2:13" x14ac:dyDescent="0.15">
      <c r="B238" s="9" t="s">
        <v>357</v>
      </c>
      <c r="C238" s="15">
        <v>1</v>
      </c>
      <c r="D238" s="18">
        <v>8.7922458474678766</v>
      </c>
      <c r="E238" s="18">
        <v>9.0591623997987902</v>
      </c>
      <c r="F238" s="18">
        <v>-0.2669165523309136</v>
      </c>
      <c r="G238" s="18">
        <v>-0.79411370357598432</v>
      </c>
      <c r="H238" s="18">
        <v>8.6108894556300053E-2</v>
      </c>
      <c r="I238" s="18">
        <v>8.8890100894392923</v>
      </c>
      <c r="J238" s="18">
        <v>9.2293147101582882</v>
      </c>
      <c r="K238" s="18">
        <v>0.34697347960362412</v>
      </c>
      <c r="L238" s="18">
        <v>8.3735382317933578</v>
      </c>
      <c r="M238" s="18">
        <v>9.7447865678042227</v>
      </c>
    </row>
    <row r="239" spans="2:13" x14ac:dyDescent="0.15">
      <c r="B239" s="9" t="s">
        <v>358</v>
      </c>
      <c r="C239" s="15">
        <v>1</v>
      </c>
      <c r="D239" s="18">
        <v>8.787830829258759</v>
      </c>
      <c r="E239" s="18">
        <v>9.2015376650300578</v>
      </c>
      <c r="F239" s="18">
        <v>-0.41370683577129874</v>
      </c>
      <c r="G239" s="18">
        <v>-1.2308351231127379</v>
      </c>
      <c r="H239" s="18">
        <v>6.5057139006406417E-2</v>
      </c>
      <c r="I239" s="18">
        <v>9.072983901050641</v>
      </c>
      <c r="J239" s="18">
        <v>9.3300914290094745</v>
      </c>
      <c r="K239" s="18">
        <v>0.34235695576727732</v>
      </c>
      <c r="L239" s="18">
        <v>8.5250358089603644</v>
      </c>
      <c r="M239" s="18">
        <v>9.8780395210997511</v>
      </c>
    </row>
    <row r="240" spans="2:13" x14ac:dyDescent="0.15">
      <c r="B240" s="9" t="s">
        <v>359</v>
      </c>
      <c r="C240" s="15">
        <v>1</v>
      </c>
      <c r="D240" s="18">
        <v>10.136343782704131</v>
      </c>
      <c r="E240" s="18">
        <v>9.9726977054487644</v>
      </c>
      <c r="F240" s="18">
        <v>0.16364607725536651</v>
      </c>
      <c r="G240" s="18">
        <v>0.48686974018692153</v>
      </c>
      <c r="H240" s="18">
        <v>5.9764299054774123E-2</v>
      </c>
      <c r="I240" s="18">
        <v>9.8546026629611738</v>
      </c>
      <c r="J240" s="18">
        <v>10.090792747936355</v>
      </c>
      <c r="K240" s="18">
        <v>0.34139072229345518</v>
      </c>
      <c r="L240" s="18">
        <v>9.2981051394560676</v>
      </c>
      <c r="M240" s="18">
        <v>10.647290271441461</v>
      </c>
    </row>
    <row r="241" spans="2:13" x14ac:dyDescent="0.15">
      <c r="B241" s="9" t="s">
        <v>360</v>
      </c>
      <c r="C241" s="15">
        <v>1</v>
      </c>
      <c r="D241" s="18">
        <v>8.7193173755063711</v>
      </c>
      <c r="E241" s="18">
        <v>9.2962883422076459</v>
      </c>
      <c r="F241" s="18">
        <v>-0.57697096670127479</v>
      </c>
      <c r="G241" s="18">
        <v>-1.7165685200928618</v>
      </c>
      <c r="H241" s="18">
        <v>5.833161678862514E-2</v>
      </c>
      <c r="I241" s="18">
        <v>9.1810242987574071</v>
      </c>
      <c r="J241" s="18">
        <v>9.4115523856578847</v>
      </c>
      <c r="K241" s="18">
        <v>0.34114283129462591</v>
      </c>
      <c r="L241" s="18">
        <v>8.6221856120952651</v>
      </c>
      <c r="M241" s="18">
        <v>9.9703910723200266</v>
      </c>
    </row>
    <row r="242" spans="2:13" x14ac:dyDescent="0.15">
      <c r="B242" s="9" t="s">
        <v>361</v>
      </c>
      <c r="C242" s="15">
        <v>1</v>
      </c>
      <c r="D242" s="18">
        <v>8.7573118469364086</v>
      </c>
      <c r="E242" s="18">
        <v>9.3288263793824626</v>
      </c>
      <c r="F242" s="18">
        <v>-0.57151453244605399</v>
      </c>
      <c r="G242" s="18">
        <v>-1.7003348726217964</v>
      </c>
      <c r="H242" s="18">
        <v>5.2683564054709843E-2</v>
      </c>
      <c r="I242" s="18">
        <v>9.2247229625627227</v>
      </c>
      <c r="J242" s="18">
        <v>9.4329297962022025</v>
      </c>
      <c r="K242" s="18">
        <v>0.34022259147217915</v>
      </c>
      <c r="L242" s="18">
        <v>8.6565420552858718</v>
      </c>
      <c r="M242" s="18">
        <v>10.001110703479053</v>
      </c>
    </row>
    <row r="243" spans="2:13" x14ac:dyDescent="0.15">
      <c r="B243" s="9" t="s">
        <v>362</v>
      </c>
      <c r="C243" s="15">
        <v>1</v>
      </c>
      <c r="D243" s="18">
        <v>10.072174918054278</v>
      </c>
      <c r="E243" s="18">
        <v>9.9998550036656972</v>
      </c>
      <c r="F243" s="18">
        <v>7.2319914388581097E-2</v>
      </c>
      <c r="G243" s="18">
        <v>0.215161759568265</v>
      </c>
      <c r="H243" s="18">
        <v>6.5014509458012876E-2</v>
      </c>
      <c r="I243" s="18">
        <v>9.8713854762356661</v>
      </c>
      <c r="J243" s="18">
        <v>10.128324531095728</v>
      </c>
      <c r="K243" s="18">
        <v>0.34234885755118949</v>
      </c>
      <c r="L243" s="18">
        <v>9.323369149777708</v>
      </c>
      <c r="M243" s="18">
        <v>10.676340857553686</v>
      </c>
    </row>
    <row r="244" spans="2:13" x14ac:dyDescent="0.15">
      <c r="B244" s="9" t="s">
        <v>363</v>
      </c>
      <c r="C244" s="15">
        <v>1</v>
      </c>
      <c r="D244" s="18">
        <v>8.9246563021870742</v>
      </c>
      <c r="E244" s="18">
        <v>9.2032355463861801</v>
      </c>
      <c r="F244" s="18">
        <v>-0.27857924419910596</v>
      </c>
      <c r="G244" s="18">
        <v>-0.8288118268367467</v>
      </c>
      <c r="H244" s="18">
        <v>7.2544851874052213E-2</v>
      </c>
      <c r="I244" s="18">
        <v>9.0598859631095436</v>
      </c>
      <c r="J244" s="18">
        <v>9.3465851296628166</v>
      </c>
      <c r="K244" s="18">
        <v>0.34385841469995576</v>
      </c>
      <c r="L244" s="18">
        <v>8.5237667876797545</v>
      </c>
      <c r="M244" s="18">
        <v>9.8827043050926058</v>
      </c>
    </row>
    <row r="245" spans="2:13" x14ac:dyDescent="0.15">
      <c r="B245" s="9" t="s">
        <v>364</v>
      </c>
      <c r="C245" s="15">
        <v>1</v>
      </c>
      <c r="D245" s="18">
        <v>8.781708985836179</v>
      </c>
      <c r="E245" s="18">
        <v>9.113086706300523</v>
      </c>
      <c r="F245" s="18">
        <v>-0.33137772046434399</v>
      </c>
      <c r="G245" s="18">
        <v>-0.985894604821141</v>
      </c>
      <c r="H245" s="18">
        <v>7.6073033151762642E-2</v>
      </c>
      <c r="I245" s="18">
        <v>8.9627653903258544</v>
      </c>
      <c r="J245" s="18">
        <v>9.2634080222751916</v>
      </c>
      <c r="K245" s="18">
        <v>0.34462002292299815</v>
      </c>
      <c r="L245" s="18">
        <v>8.432112999709128</v>
      </c>
      <c r="M245" s="18">
        <v>9.794060412891918</v>
      </c>
    </row>
    <row r="246" spans="2:13" x14ac:dyDescent="0.15">
      <c r="B246" s="9" t="s">
        <v>365</v>
      </c>
      <c r="C246" s="15">
        <v>1</v>
      </c>
      <c r="D246" s="18">
        <v>8.9347186140167683</v>
      </c>
      <c r="E246" s="18">
        <v>9.172444605298951</v>
      </c>
      <c r="F246" s="18">
        <v>-0.23772599128218275</v>
      </c>
      <c r="G246" s="18">
        <v>-0.70726774238909618</v>
      </c>
      <c r="H246" s="18">
        <v>8.1521765524538464E-2</v>
      </c>
      <c r="I246" s="18">
        <v>9.0113565223539744</v>
      </c>
      <c r="J246" s="18">
        <v>9.3335326882439276</v>
      </c>
      <c r="K246" s="18">
        <v>0.34586363220317978</v>
      </c>
      <c r="L246" s="18">
        <v>8.489013510382021</v>
      </c>
      <c r="M246" s="18">
        <v>9.855875700215881</v>
      </c>
    </row>
    <row r="247" spans="2:13" x14ac:dyDescent="0.15">
      <c r="B247" s="9" t="s">
        <v>366</v>
      </c>
      <c r="C247" s="15">
        <v>1</v>
      </c>
      <c r="D247" s="18">
        <v>10.038630146478422</v>
      </c>
      <c r="E247" s="18">
        <v>9.9734341235848056</v>
      </c>
      <c r="F247" s="18">
        <v>6.5196022893616146E-2</v>
      </c>
      <c r="G247" s="18">
        <v>0.19396719591330477</v>
      </c>
      <c r="H247" s="18">
        <v>6.3944515174588296E-2</v>
      </c>
      <c r="I247" s="18">
        <v>9.8470789189588732</v>
      </c>
      <c r="J247" s="18">
        <v>10.099789328210738</v>
      </c>
      <c r="K247" s="18">
        <v>0.34214727069998924</v>
      </c>
      <c r="L247" s="18">
        <v>9.297346607971237</v>
      </c>
      <c r="M247" s="18">
        <v>10.649521639198374</v>
      </c>
    </row>
    <row r="248" spans="2:13" x14ac:dyDescent="0.15">
      <c r="B248" s="9" t="s">
        <v>367</v>
      </c>
      <c r="C248" s="15">
        <v>1</v>
      </c>
      <c r="D248" s="18">
        <v>8.9355087115032212</v>
      </c>
      <c r="E248" s="18">
        <v>9.3036467999635661</v>
      </c>
      <c r="F248" s="18">
        <v>-0.3681380884603449</v>
      </c>
      <c r="G248" s="18">
        <v>-1.0952617898802726</v>
      </c>
      <c r="H248" s="18">
        <v>9.6319559585289427E-2</v>
      </c>
      <c r="I248" s="18">
        <v>9.1133180809538157</v>
      </c>
      <c r="J248" s="18">
        <v>9.4939755189733166</v>
      </c>
      <c r="K248" s="18">
        <v>0.34964741009371525</v>
      </c>
      <c r="L248" s="18">
        <v>8.6127389100734888</v>
      </c>
      <c r="M248" s="18">
        <v>9.9945546898536435</v>
      </c>
    </row>
    <row r="249" spans="2:13" x14ac:dyDescent="0.15">
      <c r="B249" s="9" t="s">
        <v>368</v>
      </c>
      <c r="C249" s="15">
        <v>1</v>
      </c>
      <c r="D249" s="18">
        <v>8.9488457292780499</v>
      </c>
      <c r="E249" s="18">
        <v>9.269995949540041</v>
      </c>
      <c r="F249" s="18">
        <v>-0.32115022026199114</v>
      </c>
      <c r="G249" s="18">
        <v>-0.95546637549969582</v>
      </c>
      <c r="H249" s="18">
        <v>8.1717409392631363E-2</v>
      </c>
      <c r="I249" s="18">
        <v>9.1085212717335793</v>
      </c>
      <c r="J249" s="18">
        <v>9.4314706273465028</v>
      </c>
      <c r="K249" s="18">
        <v>0.34590979868223087</v>
      </c>
      <c r="L249" s="18">
        <v>8.5864736290521382</v>
      </c>
      <c r="M249" s="18">
        <v>9.9535182700279439</v>
      </c>
    </row>
    <row r="250" spans="2:13" x14ac:dyDescent="0.15">
      <c r="B250" s="9" t="s">
        <v>369</v>
      </c>
      <c r="C250" s="15">
        <v>1</v>
      </c>
      <c r="D250" s="18">
        <v>8.9298325032724026</v>
      </c>
      <c r="E250" s="18">
        <v>9.3688804037337032</v>
      </c>
      <c r="F250" s="18">
        <v>-0.4390479004613006</v>
      </c>
      <c r="G250" s="18">
        <v>-1.3062282995860626</v>
      </c>
      <c r="H250" s="18">
        <v>8.0631234303615948E-2</v>
      </c>
      <c r="I250" s="18">
        <v>9.209552022216414</v>
      </c>
      <c r="J250" s="18">
        <v>9.5282087852509925</v>
      </c>
      <c r="K250" s="18">
        <v>0.34565481303153178</v>
      </c>
      <c r="L250" s="18">
        <v>8.6858619382517048</v>
      </c>
      <c r="M250" s="18">
        <v>10.051898869215702</v>
      </c>
    </row>
    <row r="251" spans="2:13" x14ac:dyDescent="0.15">
      <c r="B251" s="9" t="s">
        <v>370</v>
      </c>
      <c r="C251" s="15">
        <v>1</v>
      </c>
      <c r="D251" s="18">
        <v>11.112164276066547</v>
      </c>
      <c r="E251" s="18">
        <v>11.031236229434247</v>
      </c>
      <c r="F251" s="18">
        <v>8.092804663229991E-2</v>
      </c>
      <c r="G251" s="18">
        <v>0.24077214497612301</v>
      </c>
      <c r="H251" s="18">
        <v>0.1065899317731691</v>
      </c>
      <c r="I251" s="18">
        <v>10.820613119641473</v>
      </c>
      <c r="J251" s="18">
        <v>11.241859339227021</v>
      </c>
      <c r="K251" s="18">
        <v>0.35261489954615843</v>
      </c>
      <c r="L251" s="18">
        <v>10.33446454128149</v>
      </c>
      <c r="M251" s="18">
        <v>11.728007917587005</v>
      </c>
    </row>
    <row r="252" spans="2:13" x14ac:dyDescent="0.15">
      <c r="B252" s="9" t="s">
        <v>371</v>
      </c>
      <c r="C252" s="15">
        <v>1</v>
      </c>
      <c r="D252" s="18">
        <v>8.7727652099497853</v>
      </c>
      <c r="E252" s="18">
        <v>9.5841207158651045</v>
      </c>
      <c r="F252" s="18">
        <v>-0.81135550591531924</v>
      </c>
      <c r="G252" s="18">
        <v>-2.4138949798826639</v>
      </c>
      <c r="H252" s="18">
        <v>9.2554130229087914E-2</v>
      </c>
      <c r="I252" s="18">
        <v>9.4012325348828654</v>
      </c>
      <c r="J252" s="18">
        <v>9.7670088968473436</v>
      </c>
      <c r="K252" s="18">
        <v>0.34862891568113158</v>
      </c>
      <c r="L252" s="18">
        <v>8.8952253843556957</v>
      </c>
      <c r="M252" s="18">
        <v>10.273016047374513</v>
      </c>
    </row>
    <row r="253" spans="2:13" x14ac:dyDescent="0.15">
      <c r="B253" s="9" t="s">
        <v>372</v>
      </c>
      <c r="C253" s="15">
        <v>1</v>
      </c>
      <c r="D253" s="18">
        <v>8.7727652099497853</v>
      </c>
      <c r="E253" s="18">
        <v>9.1528363333043696</v>
      </c>
      <c r="F253" s="18">
        <v>-0.38007112335458437</v>
      </c>
      <c r="G253" s="18">
        <v>-1.1307642210783861</v>
      </c>
      <c r="H253" s="18">
        <v>8.71995409394173E-2</v>
      </c>
      <c r="I253" s="18">
        <v>8.9805288913196328</v>
      </c>
      <c r="J253" s="18">
        <v>9.3251437752891064</v>
      </c>
      <c r="K253" s="18">
        <v>0.34724575413759012</v>
      </c>
      <c r="L253" s="18">
        <v>8.4666741472318723</v>
      </c>
      <c r="M253" s="18">
        <v>9.838998519376867</v>
      </c>
    </row>
    <row r="254" spans="2:13" x14ac:dyDescent="0.15">
      <c r="B254" s="9" t="s">
        <v>373</v>
      </c>
      <c r="C254" s="15">
        <v>1</v>
      </c>
      <c r="D254" s="18">
        <v>10.250016196420983</v>
      </c>
      <c r="E254" s="18">
        <v>10.680401946947329</v>
      </c>
      <c r="F254" s="18">
        <v>-0.4303857505263462</v>
      </c>
      <c r="G254" s="18">
        <v>-1.2804572040668565</v>
      </c>
      <c r="H254" s="18">
        <v>8.5344117058551314E-2</v>
      </c>
      <c r="I254" s="18">
        <v>10.511760847001383</v>
      </c>
      <c r="J254" s="18">
        <v>10.849043046893275</v>
      </c>
      <c r="K254" s="18">
        <v>0.34678447506058035</v>
      </c>
      <c r="L254" s="18">
        <v>9.9951512544095955</v>
      </c>
      <c r="M254" s="18">
        <v>11.365652639485063</v>
      </c>
    </row>
    <row r="255" spans="2:13" x14ac:dyDescent="0.15">
      <c r="B255" s="9" t="s">
        <v>374</v>
      </c>
      <c r="C255" s="15">
        <v>1</v>
      </c>
      <c r="D255" s="18">
        <v>8.8038747635344343</v>
      </c>
      <c r="E255" s="18">
        <v>9.3682155936255285</v>
      </c>
      <c r="F255" s="18">
        <v>-0.56434083009109415</v>
      </c>
      <c r="G255" s="18">
        <v>-1.6789921147609563</v>
      </c>
      <c r="H255" s="18">
        <v>6.3339819547389764E-2</v>
      </c>
      <c r="I255" s="18">
        <v>9.243055275527432</v>
      </c>
      <c r="J255" s="18">
        <v>9.4933759117236249</v>
      </c>
      <c r="K255" s="18">
        <v>0.34203477391463355</v>
      </c>
      <c r="L255" s="18">
        <v>8.6923503731422702</v>
      </c>
      <c r="M255" s="18">
        <v>10.044080814108787</v>
      </c>
    </row>
    <row r="256" spans="2:13" x14ac:dyDescent="0.15">
      <c r="B256" s="9" t="s">
        <v>375</v>
      </c>
      <c r="C256" s="15">
        <v>1</v>
      </c>
      <c r="D256" s="18">
        <v>8.6033708876572899</v>
      </c>
      <c r="E256" s="18">
        <v>9.1059325407497091</v>
      </c>
      <c r="F256" s="18">
        <v>-0.50256165309241929</v>
      </c>
      <c r="G256" s="18">
        <v>-1.4951905085215969</v>
      </c>
      <c r="H256" s="18">
        <v>7.7732024216066495E-2</v>
      </c>
      <c r="I256" s="18">
        <v>8.9523330365703071</v>
      </c>
      <c r="J256" s="18">
        <v>9.2595320449291112</v>
      </c>
      <c r="K256" s="18">
        <v>0.34499003089258351</v>
      </c>
      <c r="L256" s="18">
        <v>8.424227693534565</v>
      </c>
      <c r="M256" s="18">
        <v>9.7876373879648533</v>
      </c>
    </row>
    <row r="257" spans="2:13" x14ac:dyDescent="0.15">
      <c r="B257" s="9" t="s">
        <v>376</v>
      </c>
      <c r="C257" s="15">
        <v>1</v>
      </c>
      <c r="D257" s="18">
        <v>8.3238511313388166</v>
      </c>
      <c r="E257" s="18">
        <v>8.6573533249824273</v>
      </c>
      <c r="F257" s="18">
        <v>-0.33350219364361067</v>
      </c>
      <c r="G257" s="18">
        <v>-0.99221520670889407</v>
      </c>
      <c r="H257" s="18">
        <v>6.0185294885713836E-2</v>
      </c>
      <c r="I257" s="18">
        <v>8.5384263891851475</v>
      </c>
      <c r="J257" s="18">
        <v>8.776280260779707</v>
      </c>
      <c r="K257" s="18">
        <v>0.34146467393717156</v>
      </c>
      <c r="L257" s="18">
        <v>7.9826146295672347</v>
      </c>
      <c r="M257" s="18">
        <v>9.3320920203976208</v>
      </c>
    </row>
    <row r="258" spans="2:13" x14ac:dyDescent="0.15">
      <c r="B258" s="9" t="s">
        <v>377</v>
      </c>
      <c r="C258" s="15">
        <v>1</v>
      </c>
      <c r="D258" s="18">
        <v>10.780413560888006</v>
      </c>
      <c r="E258" s="18">
        <v>9.138296509778403</v>
      </c>
      <c r="F258" s="18">
        <v>1.6421170511096026</v>
      </c>
      <c r="G258" s="18">
        <v>4.8855256138076957</v>
      </c>
      <c r="H258" s="18">
        <v>5.7059403946177756E-2</v>
      </c>
      <c r="I258" s="18">
        <v>9.0255463756696646</v>
      </c>
      <c r="J258" s="18">
        <v>9.2510466438871415</v>
      </c>
      <c r="K258" s="18">
        <v>0.34092760141301504</v>
      </c>
      <c r="L258" s="18">
        <v>8.4646190767483187</v>
      </c>
      <c r="M258" s="18">
        <v>9.8119739428084873</v>
      </c>
    </row>
    <row r="259" spans="2:13" x14ac:dyDescent="0.15">
      <c r="B259" s="9" t="s">
        <v>378</v>
      </c>
      <c r="C259" s="15">
        <v>1</v>
      </c>
      <c r="D259" s="18">
        <v>8.6411791711972281</v>
      </c>
      <c r="E259" s="18">
        <v>8.669323435107696</v>
      </c>
      <c r="F259" s="18">
        <v>-2.814426391046787E-2</v>
      </c>
      <c r="G259" s="18">
        <v>-8.3733082318001556E-2</v>
      </c>
      <c r="H259" s="18">
        <v>6.7916923611541627E-2</v>
      </c>
      <c r="I259" s="18">
        <v>8.5351186990631795</v>
      </c>
      <c r="J259" s="18">
        <v>8.8035281711522124</v>
      </c>
      <c r="K259" s="18">
        <v>0.34291188713632331</v>
      </c>
      <c r="L259" s="18">
        <v>7.9917250273400535</v>
      </c>
      <c r="M259" s="18">
        <v>9.3469218428753376</v>
      </c>
    </row>
    <row r="260" spans="2:13" x14ac:dyDescent="0.15">
      <c r="B260" s="9" t="s">
        <v>379</v>
      </c>
      <c r="C260" s="15">
        <v>1</v>
      </c>
      <c r="D260" s="18">
        <v>8.5312933157950184</v>
      </c>
      <c r="E260" s="18">
        <v>8.8027562691246537</v>
      </c>
      <c r="F260" s="18">
        <v>-0.27146295332963533</v>
      </c>
      <c r="G260" s="18">
        <v>-0.80763987609510368</v>
      </c>
      <c r="H260" s="18">
        <v>5.7876789761842379E-2</v>
      </c>
      <c r="I260" s="18">
        <v>8.6883909698729074</v>
      </c>
      <c r="J260" s="18">
        <v>8.9171215683764</v>
      </c>
      <c r="K260" s="18">
        <v>0.34106535534949173</v>
      </c>
      <c r="L260" s="18">
        <v>8.1288066325008117</v>
      </c>
      <c r="M260" s="18">
        <v>9.4767059057484957</v>
      </c>
    </row>
    <row r="261" spans="2:13" x14ac:dyDescent="0.15">
      <c r="B261" s="9" t="s">
        <v>380</v>
      </c>
      <c r="C261" s="15">
        <v>1</v>
      </c>
      <c r="D261" s="18">
        <v>10.412741942560633</v>
      </c>
      <c r="E261" s="18">
        <v>10.621065943944874</v>
      </c>
      <c r="F261" s="18">
        <v>-0.20832400138424134</v>
      </c>
      <c r="G261" s="18">
        <v>-0.61979275109889231</v>
      </c>
      <c r="H261" s="18">
        <v>8.9831762719585484E-2</v>
      </c>
      <c r="I261" s="18">
        <v>10.443557197035926</v>
      </c>
      <c r="J261" s="18">
        <v>10.798574690853822</v>
      </c>
      <c r="K261" s="18">
        <v>0.34791608100208082</v>
      </c>
      <c r="L261" s="18">
        <v>9.9335791831547837</v>
      </c>
      <c r="M261" s="18">
        <v>11.308552704734964</v>
      </c>
    </row>
    <row r="262" spans="2:13" x14ac:dyDescent="0.15">
      <c r="B262" s="9" t="s">
        <v>381</v>
      </c>
      <c r="C262" s="15">
        <v>1</v>
      </c>
      <c r="D262" s="18">
        <v>8.8801682479034501</v>
      </c>
      <c r="E262" s="18">
        <v>9.2746208227909612</v>
      </c>
      <c r="F262" s="18">
        <v>-0.39445257488751118</v>
      </c>
      <c r="G262" s="18">
        <v>-1.1735510308130341</v>
      </c>
      <c r="H262" s="18">
        <v>9.1164944486064409E-2</v>
      </c>
      <c r="I262" s="18">
        <v>9.0944776911431955</v>
      </c>
      <c r="J262" s="18">
        <v>9.454763954438727</v>
      </c>
      <c r="K262" s="18">
        <v>0.34826268954581652</v>
      </c>
      <c r="L262" s="18">
        <v>8.5864491589509484</v>
      </c>
      <c r="M262" s="18">
        <v>9.9627924866309741</v>
      </c>
    </row>
    <row r="263" spans="2:13" x14ac:dyDescent="0.15">
      <c r="B263" s="9" t="s">
        <v>382</v>
      </c>
      <c r="C263" s="15">
        <v>1</v>
      </c>
      <c r="D263" s="18">
        <v>8.8417374286005845</v>
      </c>
      <c r="E263" s="18">
        <v>9.176775638743802</v>
      </c>
      <c r="F263" s="18">
        <v>-0.33503821014321744</v>
      </c>
      <c r="G263" s="18">
        <v>-0.99678506849005599</v>
      </c>
      <c r="H263" s="18">
        <v>6.1200433442278941E-2</v>
      </c>
      <c r="I263" s="18">
        <v>9.0558427757815689</v>
      </c>
      <c r="J263" s="18">
        <v>9.297708501706035</v>
      </c>
      <c r="K263" s="18">
        <v>0.34164505979168114</v>
      </c>
      <c r="L263" s="18">
        <v>8.5016804985030294</v>
      </c>
      <c r="M263" s="18">
        <v>9.8518707789845745</v>
      </c>
    </row>
    <row r="264" spans="2:13" x14ac:dyDescent="0.15">
      <c r="B264" s="9" t="s">
        <v>383</v>
      </c>
      <c r="C264" s="15">
        <v>1</v>
      </c>
      <c r="D264" s="18">
        <v>10.374022290718541</v>
      </c>
      <c r="E264" s="18">
        <v>10.754723356899857</v>
      </c>
      <c r="F264" s="18">
        <v>-0.38070106618131661</v>
      </c>
      <c r="G264" s="18">
        <v>-1.1326383882171751</v>
      </c>
      <c r="H264" s="18">
        <v>8.9410519884809039E-2</v>
      </c>
      <c r="I264" s="18">
        <v>10.578046991383435</v>
      </c>
      <c r="J264" s="18">
        <v>10.93139972241628</v>
      </c>
      <c r="K264" s="18">
        <v>0.34780755439267041</v>
      </c>
      <c r="L264" s="18">
        <v>10.067451046120091</v>
      </c>
      <c r="M264" s="18">
        <v>11.441995667679624</v>
      </c>
    </row>
    <row r="265" spans="2:13" x14ac:dyDescent="0.15">
      <c r="B265" s="9" t="s">
        <v>384</v>
      </c>
      <c r="C265" s="15">
        <v>1</v>
      </c>
      <c r="D265" s="18">
        <v>9.0533356231660171</v>
      </c>
      <c r="E265" s="18">
        <v>9.3941881455834064</v>
      </c>
      <c r="F265" s="18">
        <v>-0.34085252241738928</v>
      </c>
      <c r="G265" s="18">
        <v>-1.0140834526234823</v>
      </c>
      <c r="H265" s="18">
        <v>8.9040857451896785E-2</v>
      </c>
      <c r="I265" s="18">
        <v>9.2182422379057147</v>
      </c>
      <c r="J265" s="18">
        <v>9.5701340532610981</v>
      </c>
      <c r="K265" s="18">
        <v>0.34771270917570379</v>
      </c>
      <c r="L265" s="18">
        <v>8.7071032502022074</v>
      </c>
      <c r="M265" s="18">
        <v>10.081273040964605</v>
      </c>
    </row>
    <row r="266" spans="2:13" x14ac:dyDescent="0.15">
      <c r="B266" s="9" t="s">
        <v>385</v>
      </c>
      <c r="C266" s="15">
        <v>1</v>
      </c>
      <c r="D266" s="18">
        <v>8.9765149723151119</v>
      </c>
      <c r="E266" s="18">
        <v>9.3479593400735936</v>
      </c>
      <c r="F266" s="18">
        <v>-0.37144436775848177</v>
      </c>
      <c r="G266" s="18">
        <v>-1.1050984286183789</v>
      </c>
      <c r="H266" s="18">
        <v>8.3746079407729157E-2</v>
      </c>
      <c r="I266" s="18">
        <v>9.1824759835841157</v>
      </c>
      <c r="J266" s="18">
        <v>9.5134426965630716</v>
      </c>
      <c r="K266" s="18">
        <v>0.3463946587964431</v>
      </c>
      <c r="L266" s="18">
        <v>8.6634789296106725</v>
      </c>
      <c r="M266" s="18">
        <v>10.032439750536515</v>
      </c>
    </row>
    <row r="267" spans="2:13" x14ac:dyDescent="0.15">
      <c r="B267" s="9" t="s">
        <v>386</v>
      </c>
      <c r="C267" s="15">
        <v>1</v>
      </c>
      <c r="D267" s="18">
        <v>8.4049199489334523</v>
      </c>
      <c r="E267" s="18">
        <v>8.6013573876117473</v>
      </c>
      <c r="F267" s="18">
        <v>-0.196437438678295</v>
      </c>
      <c r="G267" s="18">
        <v>-0.58442858109603402</v>
      </c>
      <c r="H267" s="18">
        <v>7.9543316152504595E-2</v>
      </c>
      <c r="I267" s="18">
        <v>8.4441787466973004</v>
      </c>
      <c r="J267" s="18">
        <v>8.7585360285261942</v>
      </c>
      <c r="K267" s="18">
        <v>0.34540265339321857</v>
      </c>
      <c r="L267" s="18">
        <v>7.9188371928979366</v>
      </c>
      <c r="M267" s="18">
        <v>9.2838775823255588</v>
      </c>
    </row>
    <row r="268" spans="2:13" x14ac:dyDescent="0.15">
      <c r="B268" s="9" t="s">
        <v>387</v>
      </c>
      <c r="C268" s="15">
        <v>1</v>
      </c>
      <c r="D268" s="18">
        <v>10.8104549569494</v>
      </c>
      <c r="E268" s="18">
        <v>9.1850129692832212</v>
      </c>
      <c r="F268" s="18">
        <v>1.6254419876661785</v>
      </c>
      <c r="G268" s="18">
        <v>4.8359149910389538</v>
      </c>
      <c r="H268" s="18">
        <v>6.9793197449597333E-2</v>
      </c>
      <c r="I268" s="18">
        <v>9.0471006914097529</v>
      </c>
      <c r="J268" s="18">
        <v>9.3229252471566895</v>
      </c>
      <c r="K268" s="18">
        <v>0.34328842718154229</v>
      </c>
      <c r="L268" s="18">
        <v>8.5066705134242984</v>
      </c>
      <c r="M268" s="18">
        <v>9.863355425142144</v>
      </c>
    </row>
    <row r="269" spans="2:13" x14ac:dyDescent="0.15">
      <c r="B269" s="9" t="s">
        <v>388</v>
      </c>
      <c r="C269" s="15">
        <v>1</v>
      </c>
      <c r="D269" s="18">
        <v>9.5867198991892497</v>
      </c>
      <c r="E269" s="18">
        <v>9.9379625133484168</v>
      </c>
      <c r="F269" s="18">
        <v>-0.35124261415916713</v>
      </c>
      <c r="G269" s="18">
        <v>-1.0449954142890452</v>
      </c>
      <c r="H269" s="18">
        <v>9.4041741929739867E-2</v>
      </c>
      <c r="I269" s="18">
        <v>9.7521347920424049</v>
      </c>
      <c r="J269" s="18">
        <v>10.123790234654429</v>
      </c>
      <c r="K269" s="18">
        <v>0.34902679417448507</v>
      </c>
      <c r="L269" s="18">
        <v>9.2482809686930221</v>
      </c>
      <c r="M269" s="18">
        <v>10.627644058003812</v>
      </c>
    </row>
    <row r="270" spans="2:13" ht="14" thickBot="1" x14ac:dyDescent="0.2">
      <c r="B270" s="13" t="s">
        <v>389</v>
      </c>
      <c r="C270" s="16">
        <v>1</v>
      </c>
      <c r="D270" s="19">
        <v>8.8723469789830318</v>
      </c>
      <c r="E270" s="19">
        <v>9.1820741854303858</v>
      </c>
      <c r="F270" s="19">
        <v>-0.30972720644735396</v>
      </c>
      <c r="G270" s="19">
        <v>-0.92148132763689028</v>
      </c>
      <c r="H270" s="19">
        <v>8.1209625299652366E-2</v>
      </c>
      <c r="I270" s="19">
        <v>9.0216028956830723</v>
      </c>
      <c r="J270" s="19">
        <v>9.3425454751776993</v>
      </c>
      <c r="K270" s="19">
        <v>0.34579019226671037</v>
      </c>
      <c r="L270" s="19">
        <v>8.4987882087956876</v>
      </c>
      <c r="M270" s="19">
        <v>9.8653601620650839</v>
      </c>
    </row>
    <row r="292" spans="6:6" x14ac:dyDescent="0.15">
      <c r="F292" t="s">
        <v>230</v>
      </c>
    </row>
    <row r="314" spans="6:6" x14ac:dyDescent="0.15">
      <c r="F314" t="s">
        <v>230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D983926">
              <controlPr defaultSize="0" autoFill="0" autoPict="0" macro="[0]!GoToResultsNew1101202119250328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LSTAT_20211101_192432_1_HID">
    <tabColor rgb="FF007800"/>
  </sheetPr>
  <dimension ref="A1:H70"/>
  <sheetViews>
    <sheetView workbookViewId="0"/>
  </sheetViews>
  <sheetFormatPr baseColWidth="10" defaultRowHeight="13" x14ac:dyDescent="0.15"/>
  <sheetData>
    <row r="1" spans="1:8" x14ac:dyDescent="0.15">
      <c r="A1">
        <v>1</v>
      </c>
      <c r="C1">
        <f t="shared" ref="C1:C32" si="0">8.34587027005546+(A1-1)*0.0708929450038498</f>
        <v>8.3458702700554603</v>
      </c>
      <c r="D1">
        <f t="shared" ref="D1:D32" si="1">0+1*C1-0.664175196038264*(1.00641025641026+(C1-9.19273622369672)^2/46.9123493847066)^0.5</f>
        <v>7.6745281200845969</v>
      </c>
      <c r="E1">
        <v>1</v>
      </c>
      <c r="G1">
        <f t="shared" ref="G1:G32" si="2">6.75932286094833+(E1-1)*0.0938863857155474</f>
        <v>6.7593228609483296</v>
      </c>
      <c r="H1">
        <f t="shared" ref="H1:H32" si="3">0+1*G1+0.664175196038264*(1.00641025641026+(G1-9.19273622369672)^2/46.9123493847066)^0.5</f>
        <v>7.4661734868913765</v>
      </c>
    </row>
    <row r="2" spans="1:8" x14ac:dyDescent="0.15">
      <c r="A2">
        <v>2</v>
      </c>
      <c r="C2">
        <f t="shared" si="0"/>
        <v>8.4167632150593104</v>
      </c>
      <c r="D2">
        <f t="shared" si="1"/>
        <v>7.7462272664021654</v>
      </c>
      <c r="E2">
        <v>2</v>
      </c>
      <c r="G2">
        <f t="shared" si="2"/>
        <v>6.8532092466638765</v>
      </c>
      <c r="H2">
        <f t="shared" si="3"/>
        <v>7.5570729244915515</v>
      </c>
    </row>
    <row r="3" spans="1:8" x14ac:dyDescent="0.15">
      <c r="A3">
        <v>3</v>
      </c>
      <c r="C3">
        <f t="shared" si="0"/>
        <v>8.4876561600631604</v>
      </c>
      <c r="D3">
        <f t="shared" si="1"/>
        <v>7.8178568225932441</v>
      </c>
      <c r="E3">
        <v>3</v>
      </c>
      <c r="G3">
        <f t="shared" si="2"/>
        <v>6.9470956323794244</v>
      </c>
      <c r="H3">
        <f t="shared" si="3"/>
        <v>7.6480778856262255</v>
      </c>
    </row>
    <row r="4" spans="1:8" x14ac:dyDescent="0.15">
      <c r="A4">
        <v>4</v>
      </c>
      <c r="C4">
        <f t="shared" si="0"/>
        <v>8.5585491050670104</v>
      </c>
      <c r="D4">
        <f t="shared" si="1"/>
        <v>7.8894165588339762</v>
      </c>
      <c r="E4">
        <v>4</v>
      </c>
      <c r="G4">
        <f t="shared" si="2"/>
        <v>7.0409820180949714</v>
      </c>
      <c r="H4">
        <f t="shared" si="3"/>
        <v>7.7391896767479391</v>
      </c>
    </row>
    <row r="5" spans="1:8" x14ac:dyDescent="0.15">
      <c r="A5">
        <v>5</v>
      </c>
      <c r="C5">
        <f t="shared" si="0"/>
        <v>8.6294420500708604</v>
      </c>
      <c r="D5">
        <f t="shared" si="1"/>
        <v>7.9609062662110626</v>
      </c>
      <c r="E5">
        <v>5</v>
      </c>
      <c r="G5">
        <f t="shared" si="2"/>
        <v>7.1348684038105192</v>
      </c>
      <c r="H5">
        <f t="shared" si="3"/>
        <v>7.8304095763295836</v>
      </c>
    </row>
    <row r="6" spans="1:8" x14ac:dyDescent="0.15">
      <c r="A6">
        <v>6</v>
      </c>
      <c r="C6">
        <f t="shared" si="0"/>
        <v>8.7003349950747086</v>
      </c>
      <c r="D6">
        <f t="shared" si="1"/>
        <v>8.0323257570447772</v>
      </c>
      <c r="E6">
        <v>6</v>
      </c>
      <c r="G6">
        <f t="shared" si="2"/>
        <v>7.2287547895260662</v>
      </c>
      <c r="H6">
        <f t="shared" si="3"/>
        <v>7.9217388323218341</v>
      </c>
    </row>
    <row r="7" spans="1:8" x14ac:dyDescent="0.15">
      <c r="A7">
        <v>7</v>
      </c>
      <c r="C7">
        <f t="shared" si="0"/>
        <v>8.7712279400785587</v>
      </c>
      <c r="D7">
        <f t="shared" si="1"/>
        <v>8.1036748651809987</v>
      </c>
      <c r="E7">
        <v>7</v>
      </c>
      <c r="G7">
        <f t="shared" si="2"/>
        <v>7.3226411752416141</v>
      </c>
      <c r="H7">
        <f t="shared" si="3"/>
        <v>8.0131786595991077</v>
      </c>
    </row>
    <row r="8" spans="1:8" x14ac:dyDescent="0.15">
      <c r="A8">
        <v>8</v>
      </c>
      <c r="C8">
        <f t="shared" si="0"/>
        <v>8.8421208850824087</v>
      </c>
      <c r="D8">
        <f t="shared" si="1"/>
        <v>8.1749534462511875</v>
      </c>
      <c r="E8">
        <v>8</v>
      </c>
      <c r="G8">
        <f t="shared" si="2"/>
        <v>7.416527560957161</v>
      </c>
      <c r="H8">
        <f t="shared" si="3"/>
        <v>8.1047302374041674</v>
      </c>
    </row>
    <row r="9" spans="1:8" x14ac:dyDescent="0.15">
      <c r="A9">
        <v>9</v>
      </c>
      <c r="C9">
        <f t="shared" si="0"/>
        <v>8.9130138300862587</v>
      </c>
      <c r="D9">
        <f t="shared" si="1"/>
        <v>8.2461613778994192</v>
      </c>
      <c r="E9">
        <v>9</v>
      </c>
      <c r="G9">
        <f t="shared" si="2"/>
        <v>7.5104139466727089</v>
      </c>
      <c r="H9">
        <f t="shared" si="3"/>
        <v>8.1963947068021064</v>
      </c>
    </row>
    <row r="10" spans="1:8" x14ac:dyDescent="0.15">
      <c r="A10">
        <v>10</v>
      </c>
      <c r="C10">
        <f t="shared" si="0"/>
        <v>8.9839067750901087</v>
      </c>
      <c r="D10">
        <f t="shared" si="1"/>
        <v>8.3172985599755975</v>
      </c>
      <c r="E10">
        <v>10</v>
      </c>
      <c r="G10">
        <f t="shared" si="2"/>
        <v>7.6043003323882559</v>
      </c>
      <c r="H10">
        <f t="shared" si="3"/>
        <v>8.2881731681548381</v>
      </c>
    </row>
    <row r="11" spans="1:8" x14ac:dyDescent="0.15">
      <c r="A11">
        <v>11</v>
      </c>
      <c r="C11">
        <f t="shared" si="0"/>
        <v>9.0547997200939587</v>
      </c>
      <c r="D11">
        <f t="shared" si="1"/>
        <v>8.3883649146941561</v>
      </c>
      <c r="E11">
        <v>11</v>
      </c>
      <c r="G11">
        <f t="shared" si="2"/>
        <v>7.6981867181038037</v>
      </c>
      <c r="H11">
        <f t="shared" si="3"/>
        <v>8.380066678627637</v>
      </c>
    </row>
    <row r="12" spans="1:8" x14ac:dyDescent="0.15">
      <c r="A12">
        <v>12</v>
      </c>
      <c r="C12">
        <f t="shared" si="0"/>
        <v>9.1256926650978087</v>
      </c>
      <c r="D12">
        <f t="shared" si="1"/>
        <v>8.459360386757675</v>
      </c>
      <c r="E12">
        <v>12</v>
      </c>
      <c r="G12">
        <f t="shared" si="2"/>
        <v>7.7920731038193507</v>
      </c>
      <c r="H12">
        <f t="shared" si="3"/>
        <v>8.4720762497395583</v>
      </c>
    </row>
    <row r="13" spans="1:8" x14ac:dyDescent="0.15">
      <c r="A13">
        <v>13</v>
      </c>
      <c r="C13">
        <f t="shared" si="0"/>
        <v>9.196585610101657</v>
      </c>
      <c r="D13">
        <f t="shared" si="1"/>
        <v>8.5302849434449293</v>
      </c>
      <c r="E13">
        <v>13</v>
      </c>
      <c r="G13">
        <f t="shared" si="2"/>
        <v>7.8859594895348986</v>
      </c>
      <c r="H13">
        <f t="shared" si="3"/>
        <v>8.5642028449698113</v>
      </c>
    </row>
    <row r="14" spans="1:8" x14ac:dyDescent="0.15">
      <c r="A14">
        <v>14</v>
      </c>
      <c r="C14">
        <f t="shared" si="0"/>
        <v>9.267478555105507</v>
      </c>
      <c r="D14">
        <f t="shared" si="1"/>
        <v>8.6011385746630804</v>
      </c>
      <c r="E14">
        <v>14</v>
      </c>
      <c r="G14">
        <f t="shared" si="2"/>
        <v>7.9798458752504455</v>
      </c>
      <c r="H14">
        <f t="shared" si="3"/>
        <v>8.6564473774322526</v>
      </c>
    </row>
    <row r="15" spans="1:8" x14ac:dyDescent="0.15">
      <c r="A15">
        <v>15</v>
      </c>
      <c r="C15">
        <f t="shared" si="0"/>
        <v>9.338371500109357</v>
      </c>
      <c r="D15">
        <f t="shared" si="1"/>
        <v>8.6719212929637752</v>
      </c>
      <c r="E15">
        <v>15</v>
      </c>
      <c r="G15">
        <f t="shared" si="2"/>
        <v>8.0737322609659934</v>
      </c>
      <c r="H15">
        <f t="shared" si="3"/>
        <v>8.74881070763022</v>
      </c>
    </row>
    <row r="16" spans="1:8" x14ac:dyDescent="0.15">
      <c r="A16">
        <v>16</v>
      </c>
      <c r="C16">
        <f t="shared" si="0"/>
        <v>9.409264445113207</v>
      </c>
      <c r="D16">
        <f t="shared" si="1"/>
        <v>8.7426331335231122</v>
      </c>
      <c r="E16">
        <v>16</v>
      </c>
      <c r="G16">
        <f t="shared" si="2"/>
        <v>8.1676186466815413</v>
      </c>
      <c r="H16">
        <f t="shared" si="3"/>
        <v>8.8412936413038192</v>
      </c>
    </row>
    <row r="17" spans="1:8" x14ac:dyDescent="0.15">
      <c r="A17">
        <v>17</v>
      </c>
      <c r="C17">
        <f t="shared" si="0"/>
        <v>9.480157390117057</v>
      </c>
      <c r="D17">
        <f t="shared" si="1"/>
        <v>8.8132741540855655</v>
      </c>
      <c r="E17">
        <v>17</v>
      </c>
      <c r="G17">
        <f t="shared" si="2"/>
        <v>8.2615050323970873</v>
      </c>
      <c r="H17">
        <f t="shared" si="3"/>
        <v>8.9338969273816318</v>
      </c>
    </row>
    <row r="18" spans="1:8" x14ac:dyDescent="0.15">
      <c r="A18">
        <v>18</v>
      </c>
      <c r="C18">
        <f t="shared" si="0"/>
        <v>9.5510503351209071</v>
      </c>
      <c r="D18">
        <f t="shared" si="1"/>
        <v>8.8838444348720387</v>
      </c>
      <c r="E18">
        <v>18</v>
      </c>
      <c r="G18">
        <f t="shared" si="2"/>
        <v>8.3553914181126352</v>
      </c>
      <c r="H18">
        <f t="shared" si="3"/>
        <v>9.026621256048438</v>
      </c>
    </row>
    <row r="19" spans="1:8" x14ac:dyDescent="0.15">
      <c r="A19">
        <v>19</v>
      </c>
      <c r="C19">
        <f t="shared" si="0"/>
        <v>9.6219432801247571</v>
      </c>
      <c r="D19">
        <f t="shared" si="1"/>
        <v>8.9543440784524222</v>
      </c>
      <c r="E19">
        <v>19</v>
      </c>
      <c r="G19">
        <f t="shared" si="2"/>
        <v>8.4492778038281831</v>
      </c>
      <c r="H19">
        <f t="shared" si="3"/>
        <v>9.1194672569401956</v>
      </c>
    </row>
    <row r="20" spans="1:8" x14ac:dyDescent="0.15">
      <c r="A20">
        <v>20</v>
      </c>
      <c r="C20">
        <f t="shared" si="0"/>
        <v>9.6928362251286071</v>
      </c>
      <c r="D20">
        <f t="shared" si="1"/>
        <v>9.0247732095831132</v>
      </c>
      <c r="E20">
        <v>20</v>
      </c>
      <c r="G20">
        <f t="shared" si="2"/>
        <v>8.5431641895437309</v>
      </c>
      <c r="H20">
        <f t="shared" si="3"/>
        <v>9.2124354974769709</v>
      </c>
    </row>
    <row r="21" spans="1:8" x14ac:dyDescent="0.15">
      <c r="A21">
        <v>21</v>
      </c>
      <c r="C21">
        <f t="shared" si="0"/>
        <v>9.7637291701324571</v>
      </c>
      <c r="D21">
        <f t="shared" si="1"/>
        <v>9.0951319750100872</v>
      </c>
      <c r="E21">
        <v>21</v>
      </c>
      <c r="G21">
        <f t="shared" si="2"/>
        <v>8.637050575259277</v>
      </c>
      <c r="H21">
        <f t="shared" si="3"/>
        <v>9.3055264813438558</v>
      </c>
    </row>
    <row r="22" spans="1:8" x14ac:dyDescent="0.15">
      <c r="A22">
        <v>22</v>
      </c>
      <c r="C22">
        <f t="shared" si="0"/>
        <v>9.8346221151363054</v>
      </c>
      <c r="D22">
        <f t="shared" si="1"/>
        <v>9.1654205432382501</v>
      </c>
      <c r="E22">
        <v>22</v>
      </c>
      <c r="G22">
        <f t="shared" si="2"/>
        <v>8.7309369609748249</v>
      </c>
      <c r="H22">
        <f t="shared" si="3"/>
        <v>9.3987406471291948</v>
      </c>
    </row>
    <row r="23" spans="1:8" x14ac:dyDescent="0.15">
      <c r="A23">
        <v>23</v>
      </c>
      <c r="C23">
        <f t="shared" si="0"/>
        <v>9.9055150601401554</v>
      </c>
      <c r="D23">
        <f t="shared" si="1"/>
        <v>9.2356391042679338</v>
      </c>
      <c r="E23">
        <v>23</v>
      </c>
      <c r="G23">
        <f t="shared" si="2"/>
        <v>8.8248233466903727</v>
      </c>
      <c r="H23">
        <f t="shared" si="3"/>
        <v>9.4920783671285598</v>
      </c>
    </row>
    <row r="24" spans="1:8" x14ac:dyDescent="0.15">
      <c r="A24">
        <v>24</v>
      </c>
      <c r="C24">
        <f t="shared" si="0"/>
        <v>9.9764080051440054</v>
      </c>
      <c r="D24">
        <f t="shared" si="1"/>
        <v>9.3057878692994436</v>
      </c>
      <c r="E24">
        <v>24</v>
      </c>
      <c r="G24">
        <f t="shared" si="2"/>
        <v>8.9187097324059188</v>
      </c>
      <c r="H24">
        <f t="shared" si="3"/>
        <v>9.5855399463220294</v>
      </c>
    </row>
    <row r="25" spans="1:8" x14ac:dyDescent="0.15">
      <c r="A25">
        <v>25</v>
      </c>
      <c r="C25">
        <f t="shared" si="0"/>
        <v>10.047300950147855</v>
      </c>
      <c r="D25">
        <f t="shared" si="1"/>
        <v>9.3758670704067448</v>
      </c>
      <c r="E25">
        <v>25</v>
      </c>
      <c r="G25">
        <f t="shared" si="2"/>
        <v>9.0125961181214667</v>
      </c>
      <c r="H25">
        <f t="shared" si="3"/>
        <v>9.6791256215312433</v>
      </c>
    </row>
    <row r="26" spans="1:8" x14ac:dyDescent="0.15">
      <c r="A26">
        <v>26</v>
      </c>
      <c r="C26">
        <f t="shared" si="0"/>
        <v>10.118193895151705</v>
      </c>
      <c r="D26">
        <f t="shared" si="1"/>
        <v>9.4458769601814581</v>
      </c>
      <c r="E26">
        <v>26</v>
      </c>
      <c r="G26">
        <f t="shared" si="2"/>
        <v>9.1064825038370145</v>
      </c>
      <c r="H26">
        <f t="shared" si="3"/>
        <v>9.7728355607616422</v>
      </c>
    </row>
    <row r="27" spans="1:8" x14ac:dyDescent="0.15">
      <c r="A27">
        <v>27</v>
      </c>
      <c r="C27">
        <f t="shared" si="0"/>
        <v>10.189086840155555</v>
      </c>
      <c r="D27">
        <f t="shared" si="1"/>
        <v>9.5158178113483949</v>
      </c>
      <c r="E27">
        <v>27</v>
      </c>
      <c r="G27">
        <f t="shared" si="2"/>
        <v>9.2003688895525624</v>
      </c>
      <c r="H27">
        <f t="shared" si="3"/>
        <v>9.8666698627341631</v>
      </c>
    </row>
    <row r="28" spans="1:8" x14ac:dyDescent="0.15">
      <c r="A28">
        <v>28</v>
      </c>
      <c r="C28">
        <f t="shared" si="0"/>
        <v>10.259979785159405</v>
      </c>
      <c r="D28">
        <f t="shared" si="1"/>
        <v>9.5856899163539673</v>
      </c>
      <c r="E28">
        <v>28</v>
      </c>
      <c r="G28">
        <f t="shared" si="2"/>
        <v>9.2942552752681102</v>
      </c>
      <c r="H28">
        <f t="shared" si="3"/>
        <v>9.9606285566093842</v>
      </c>
    </row>
    <row r="29" spans="1:8" x14ac:dyDescent="0.15">
      <c r="A29">
        <v>29</v>
      </c>
      <c r="C29">
        <f t="shared" si="0"/>
        <v>10.330872730163254</v>
      </c>
      <c r="D29">
        <f t="shared" si="1"/>
        <v>9.6554935869289267</v>
      </c>
      <c r="E29">
        <v>29</v>
      </c>
      <c r="G29">
        <f t="shared" si="2"/>
        <v>9.3881416609836563</v>
      </c>
      <c r="H29">
        <f t="shared" si="3"/>
        <v>10.054711601905957</v>
      </c>
    </row>
    <row r="30" spans="1:8" x14ac:dyDescent="0.15">
      <c r="A30">
        <v>30</v>
      </c>
      <c r="C30">
        <f t="shared" si="0"/>
        <v>10.401765675167105</v>
      </c>
      <c r="D30">
        <f t="shared" si="1"/>
        <v>9.7252291536268576</v>
      </c>
      <c r="E30">
        <v>30</v>
      </c>
      <c r="G30">
        <f t="shared" si="2"/>
        <v>9.4820280466992042</v>
      </c>
      <c r="H30">
        <f t="shared" si="3"/>
        <v>10.148918888613849</v>
      </c>
    </row>
    <row r="31" spans="1:8" x14ac:dyDescent="0.15">
      <c r="A31">
        <v>31</v>
      </c>
      <c r="C31">
        <f t="shared" si="0"/>
        <v>10.472658620170954</v>
      </c>
      <c r="D31">
        <f t="shared" si="1"/>
        <v>9.7948969653400031</v>
      </c>
      <c r="E31">
        <v>31</v>
      </c>
      <c r="G31">
        <f t="shared" si="2"/>
        <v>9.575914432414752</v>
      </c>
      <c r="H31">
        <f t="shared" si="3"/>
        <v>10.243250237501609</v>
      </c>
    </row>
    <row r="32" spans="1:8" x14ac:dyDescent="0.15">
      <c r="A32">
        <v>32</v>
      </c>
      <c r="C32">
        <f t="shared" si="0"/>
        <v>10.543551565174804</v>
      </c>
      <c r="D32">
        <f t="shared" si="1"/>
        <v>9.864497388794037</v>
      </c>
      <c r="E32">
        <v>32</v>
      </c>
      <c r="G32">
        <f t="shared" si="2"/>
        <v>9.6698008181302981</v>
      </c>
      <c r="H32">
        <f t="shared" si="3"/>
        <v>10.337705400615745</v>
      </c>
    </row>
    <row r="33" spans="1:8" x14ac:dyDescent="0.15">
      <c r="A33">
        <v>33</v>
      </c>
      <c r="C33">
        <f t="shared" ref="C33:C64" si="4">8.34587027005546+(A33-1)*0.0708929450038498</f>
        <v>10.614444510178654</v>
      </c>
      <c r="D33">
        <f t="shared" ref="D33:D64" si="5">0+1*C33-0.664175196038264*(1.00641025641026+(C33-9.19273622369672)^2/46.9123493847066)^0.5</f>
        <v>9.9340308080233388</v>
      </c>
      <c r="E33">
        <v>33</v>
      </c>
      <c r="G33">
        <f t="shared" ref="G33:G64" si="6">6.75932286094833+(E33-1)*0.0938863857155474</f>
        <v>9.763687203845846</v>
      </c>
      <c r="H33">
        <f t="shared" ref="H33:H64" si="7">0+1*G33+0.664175196038264*(1.00641025641026+(G33-9.19273622369672)^2/46.9123493847066)^0.5</f>
        <v>10.432284061968909</v>
      </c>
    </row>
    <row r="34" spans="1:8" x14ac:dyDescent="0.15">
      <c r="A34">
        <v>34</v>
      </c>
      <c r="C34">
        <f t="shared" si="4"/>
        <v>10.685337455182504</v>
      </c>
      <c r="D34">
        <f t="shared" si="5"/>
        <v>10.003497623828538</v>
      </c>
      <c r="E34">
        <v>34</v>
      </c>
      <c r="G34">
        <f t="shared" si="6"/>
        <v>9.8575735895613938</v>
      </c>
      <c r="H34">
        <f t="shared" si="7"/>
        <v>10.526985838412461</v>
      </c>
    </row>
    <row r="35" spans="1:8" x14ac:dyDescent="0.15">
      <c r="A35">
        <v>35</v>
      </c>
      <c r="C35">
        <f t="shared" si="4"/>
        <v>10.756230400186354</v>
      </c>
      <c r="D35">
        <f t="shared" si="5"/>
        <v>10.072898253217932</v>
      </c>
      <c r="E35">
        <v>35</v>
      </c>
      <c r="G35">
        <f t="shared" si="6"/>
        <v>9.9514599752769417</v>
      </c>
      <c r="H35">
        <f t="shared" si="7"/>
        <v>10.621810280687844</v>
      </c>
    </row>
    <row r="36" spans="1:8" x14ac:dyDescent="0.15">
      <c r="A36">
        <v>36</v>
      </c>
      <c r="C36">
        <f t="shared" si="4"/>
        <v>10.827123345190202</v>
      </c>
      <c r="D36">
        <f t="shared" si="5"/>
        <v>10.14223312883454</v>
      </c>
      <c r="E36">
        <v>36</v>
      </c>
      <c r="G36">
        <f t="shared" si="6"/>
        <v>10.04534636099249</v>
      </c>
      <c r="H36">
        <f t="shared" si="7"/>
        <v>10.7167568746501</v>
      </c>
    </row>
    <row r="37" spans="1:8" x14ac:dyDescent="0.15">
      <c r="A37">
        <v>37</v>
      </c>
      <c r="C37">
        <f t="shared" si="4"/>
        <v>10.898016290194054</v>
      </c>
      <c r="D37">
        <f t="shared" si="5"/>
        <v>10.211502698370483</v>
      </c>
      <c r="E37">
        <v>37</v>
      </c>
      <c r="G37">
        <f t="shared" si="6"/>
        <v>10.139232746708036</v>
      </c>
      <c r="H37">
        <f t="shared" si="7"/>
        <v>10.811825042655808</v>
      </c>
    </row>
    <row r="38" spans="1:8" x14ac:dyDescent="0.15">
      <c r="A38">
        <v>38</v>
      </c>
      <c r="C38">
        <f t="shared" si="4"/>
        <v>10.968909235197902</v>
      </c>
      <c r="D38">
        <f t="shared" si="5"/>
        <v>10.280707423970366</v>
      </c>
      <c r="E38">
        <v>38</v>
      </c>
      <c r="G38">
        <f t="shared" si="6"/>
        <v>10.233119132423584</v>
      </c>
      <c r="H38">
        <f t="shared" si="7"/>
        <v>10.907014145106906</v>
      </c>
    </row>
    <row r="39" spans="1:8" x14ac:dyDescent="0.15">
      <c r="A39">
        <v>39</v>
      </c>
      <c r="C39">
        <f t="shared" si="4"/>
        <v>11.039802180201752</v>
      </c>
      <c r="D39">
        <f t="shared" si="5"/>
        <v>10.349847781625449</v>
      </c>
      <c r="E39">
        <v>39</v>
      </c>
      <c r="G39">
        <f t="shared" si="6"/>
        <v>10.327005518139131</v>
      </c>
      <c r="H39">
        <f t="shared" si="7"/>
        <v>11.00232348214087</v>
      </c>
    </row>
    <row r="40" spans="1:8" x14ac:dyDescent="0.15">
      <c r="A40">
        <v>40</v>
      </c>
      <c r="C40">
        <f t="shared" si="4"/>
        <v>11.110695125205602</v>
      </c>
      <c r="D40">
        <f t="shared" si="5"/>
        <v>10.418924260560177</v>
      </c>
      <c r="E40">
        <v>40</v>
      </c>
      <c r="G40">
        <f t="shared" si="6"/>
        <v>10.420891903854677</v>
      </c>
      <c r="H40">
        <f t="shared" si="7"/>
        <v>11.097752295457175</v>
      </c>
    </row>
    <row r="41" spans="1:8" x14ac:dyDescent="0.15">
      <c r="A41">
        <v>41</v>
      </c>
      <c r="C41">
        <f t="shared" si="4"/>
        <v>11.181588070209452</v>
      </c>
      <c r="D41">
        <f t="shared" si="5"/>
        <v>10.487937362612801</v>
      </c>
      <c r="E41">
        <v>41</v>
      </c>
      <c r="G41">
        <f t="shared" si="6"/>
        <v>10.514778289570225</v>
      </c>
      <c r="H41">
        <f t="shared" si="7"/>
        <v>11.193299770269221</v>
      </c>
    </row>
    <row r="42" spans="1:8" x14ac:dyDescent="0.15">
      <c r="A42">
        <v>42</v>
      </c>
      <c r="C42">
        <f t="shared" si="4"/>
        <v>11.252481015213302</v>
      </c>
      <c r="D42">
        <f t="shared" si="5"/>
        <v>10.556887601611683</v>
      </c>
      <c r="E42">
        <v>42</v>
      </c>
      <c r="G42">
        <f t="shared" si="6"/>
        <v>10.608664675285773</v>
      </c>
      <c r="H42">
        <f t="shared" si="7"/>
        <v>11.288965037370392</v>
      </c>
    </row>
    <row r="43" spans="1:8" x14ac:dyDescent="0.15">
      <c r="A43">
        <v>43</v>
      </c>
      <c r="C43">
        <f t="shared" si="4"/>
        <v>11.323373960217152</v>
      </c>
      <c r="D43">
        <f t="shared" si="5"/>
        <v>10.625775502748862</v>
      </c>
      <c r="E43">
        <v>43</v>
      </c>
      <c r="G43">
        <f t="shared" si="6"/>
        <v>10.702551061001321</v>
      </c>
      <c r="H43">
        <f t="shared" si="7"/>
        <v>11.384747175302632</v>
      </c>
    </row>
    <row r="44" spans="1:8" x14ac:dyDescent="0.15">
      <c r="A44">
        <v>44</v>
      </c>
      <c r="C44">
        <f t="shared" si="4"/>
        <v>11.394266905221002</v>
      </c>
      <c r="D44">
        <f t="shared" si="5"/>
        <v>10.694601601952442</v>
      </c>
      <c r="E44">
        <v>44</v>
      </c>
      <c r="G44">
        <f t="shared" si="6"/>
        <v>10.796437446716869</v>
      </c>
      <c r="H44">
        <f t="shared" si="7"/>
        <v>11.480645212615496</v>
      </c>
    </row>
    <row r="45" spans="1:8" x14ac:dyDescent="0.15">
      <c r="A45">
        <v>45</v>
      </c>
      <c r="C45">
        <f t="shared" si="4"/>
        <v>11.46515985022485</v>
      </c>
      <c r="D45">
        <f t="shared" si="5"/>
        <v>10.763366445259258</v>
      </c>
      <c r="E45">
        <v>45</v>
      </c>
      <c r="G45">
        <f t="shared" si="6"/>
        <v>10.890323832432415</v>
      </c>
      <c r="H45">
        <f t="shared" si="7"/>
        <v>11.576658130203558</v>
      </c>
    </row>
    <row r="46" spans="1:8" x14ac:dyDescent="0.15">
      <c r="A46">
        <v>46</v>
      </c>
      <c r="C46">
        <f t="shared" si="4"/>
        <v>11.536052795228702</v>
      </c>
      <c r="D46">
        <f t="shared" si="5"/>
        <v>10.832070588189293</v>
      </c>
      <c r="E46">
        <v>46</v>
      </c>
      <c r="G46">
        <f t="shared" si="6"/>
        <v>10.984210218147963</v>
      </c>
      <c r="H46">
        <f t="shared" si="7"/>
        <v>11.672784863709984</v>
      </c>
    </row>
    <row r="47" spans="1:8" x14ac:dyDescent="0.15">
      <c r="A47">
        <v>47</v>
      </c>
      <c r="C47">
        <f t="shared" si="4"/>
        <v>11.60694574023255</v>
      </c>
      <c r="D47">
        <f t="shared" si="5"/>
        <v>10.90071459512316</v>
      </c>
      <c r="E47">
        <v>47</v>
      </c>
      <c r="G47">
        <f t="shared" si="6"/>
        <v>11.078096603863511</v>
      </c>
      <c r="H47">
        <f t="shared" si="7"/>
        <v>11.769024305984042</v>
      </c>
    </row>
    <row r="48" spans="1:8" x14ac:dyDescent="0.15">
      <c r="A48">
        <v>48</v>
      </c>
      <c r="C48">
        <f t="shared" si="4"/>
        <v>11.6778386852364</v>
      </c>
      <c r="D48">
        <f t="shared" si="5"/>
        <v>10.969299038684051</v>
      </c>
      <c r="E48">
        <v>48</v>
      </c>
      <c r="G48">
        <f t="shared" si="6"/>
        <v>11.171982989579057</v>
      </c>
      <c r="H48">
        <f t="shared" si="7"/>
        <v>11.865375309580575</v>
      </c>
    </row>
    <row r="49" spans="1:8" x14ac:dyDescent="0.15">
      <c r="A49">
        <v>49</v>
      </c>
      <c r="C49">
        <f t="shared" si="4"/>
        <v>11.74873163024025</v>
      </c>
      <c r="D49">
        <f t="shared" si="5"/>
        <v>11.037824499125293</v>
      </c>
      <c r="E49">
        <v>49</v>
      </c>
      <c r="G49">
        <f t="shared" si="6"/>
        <v>11.265869375294605</v>
      </c>
      <c r="H49">
        <f t="shared" si="7"/>
        <v>11.961836689289632</v>
      </c>
    </row>
    <row r="50" spans="1:8" x14ac:dyDescent="0.15">
      <c r="A50">
        <v>50</v>
      </c>
      <c r="C50">
        <f t="shared" si="4"/>
        <v>11.8196245752441</v>
      </c>
      <c r="D50">
        <f t="shared" si="5"/>
        <v>11.106291563724771</v>
      </c>
      <c r="E50">
        <v>50</v>
      </c>
      <c r="G50">
        <f t="shared" si="6"/>
        <v>11.359755761010152</v>
      </c>
      <c r="H50">
        <f t="shared" si="7"/>
        <v>12.05840722468475</v>
      </c>
    </row>
    <row r="51" spans="1:8" x14ac:dyDescent="0.15">
      <c r="A51">
        <v>51</v>
      </c>
      <c r="C51">
        <f t="shared" si="4"/>
        <v>11.890517520247951</v>
      </c>
      <c r="D51">
        <f t="shared" si="5"/>
        <v>11.174700826187287</v>
      </c>
      <c r="E51">
        <v>51</v>
      </c>
      <c r="G51">
        <f t="shared" si="6"/>
        <v>11.453642146725699</v>
      </c>
      <c r="H51">
        <f t="shared" si="7"/>
        <v>12.155085662678836</v>
      </c>
    </row>
    <row r="52" spans="1:8" x14ac:dyDescent="0.15">
      <c r="A52">
        <v>52</v>
      </c>
      <c r="C52">
        <f t="shared" si="4"/>
        <v>11.961410465251799</v>
      </c>
      <c r="D52">
        <f t="shared" si="5"/>
        <v>11.243052886055892</v>
      </c>
      <c r="E52">
        <v>52</v>
      </c>
      <c r="G52">
        <f t="shared" si="6"/>
        <v>11.547528532441248</v>
      </c>
      <c r="H52">
        <f t="shared" si="7"/>
        <v>12.251870720077044</v>
      </c>
    </row>
    <row r="53" spans="1:8" x14ac:dyDescent="0.15">
      <c r="A53">
        <v>53</v>
      </c>
      <c r="C53">
        <f t="shared" si="4"/>
        <v>12.032303410255651</v>
      </c>
      <c r="D53">
        <f t="shared" si="5"/>
        <v>11.311348348133167</v>
      </c>
      <c r="E53">
        <v>53</v>
      </c>
      <c r="G53">
        <f t="shared" si="6"/>
        <v>11.641414918156794</v>
      </c>
      <c r="H53">
        <f t="shared" si="7"/>
        <v>12.348761086116509</v>
      </c>
    </row>
    <row r="54" spans="1:8" x14ac:dyDescent="0.15">
      <c r="A54">
        <v>54</v>
      </c>
      <c r="C54">
        <f t="shared" si="4"/>
        <v>12.103196355259499</v>
      </c>
      <c r="D54">
        <f t="shared" si="5"/>
        <v>11.379587821913306</v>
      </c>
      <c r="E54">
        <v>54</v>
      </c>
      <c r="G54">
        <f t="shared" si="6"/>
        <v>11.735301303872342</v>
      </c>
      <c r="H54">
        <f t="shared" si="7"/>
        <v>12.445755424983512</v>
      </c>
    </row>
    <row r="55" spans="1:8" x14ac:dyDescent="0.15">
      <c r="A55">
        <v>55</v>
      </c>
      <c r="C55">
        <f t="shared" si="4"/>
        <v>12.174089300263349</v>
      </c>
      <c r="D55">
        <f t="shared" si="5"/>
        <v>11.447771921025879</v>
      </c>
      <c r="E55">
        <v>55</v>
      </c>
      <c r="G55">
        <f t="shared" si="6"/>
        <v>11.82918768958789</v>
      </c>
      <c r="H55">
        <f t="shared" si="7"/>
        <v>12.542852378299076</v>
      </c>
    </row>
    <row r="56" spans="1:8" x14ac:dyDescent="0.15">
      <c r="A56">
        <v>56</v>
      </c>
      <c r="C56">
        <f t="shared" si="4"/>
        <v>12.244982245267199</v>
      </c>
      <c r="D56">
        <f t="shared" si="5"/>
        <v>11.515901262691935</v>
      </c>
      <c r="E56">
        <v>56</v>
      </c>
      <c r="G56">
        <f t="shared" si="6"/>
        <v>11.923074075303436</v>
      </c>
      <c r="H56">
        <f t="shared" si="7"/>
        <v>12.640050567564835</v>
      </c>
    </row>
    <row r="57" spans="1:8" x14ac:dyDescent="0.15">
      <c r="A57">
        <v>57</v>
      </c>
      <c r="C57">
        <f t="shared" si="4"/>
        <v>12.315875190271049</v>
      </c>
      <c r="D57">
        <f t="shared" si="5"/>
        <v>11.583976467193191</v>
      </c>
      <c r="E57">
        <v>57</v>
      </c>
      <c r="G57">
        <f t="shared" si="6"/>
        <v>12.016960461018984</v>
      </c>
      <c r="H57">
        <f t="shared" si="7"/>
        <v>12.737348596561571</v>
      </c>
    </row>
    <row r="58" spans="1:8" x14ac:dyDescent="0.15">
      <c r="A58">
        <v>58</v>
      </c>
      <c r="C58">
        <f t="shared" si="4"/>
        <v>12.386768135274899</v>
      </c>
      <c r="D58">
        <f t="shared" si="5"/>
        <v>11.651998157354834</v>
      </c>
      <c r="E58">
        <v>58</v>
      </c>
      <c r="G58">
        <f t="shared" si="6"/>
        <v>12.110846846734532</v>
      </c>
      <c r="H58">
        <f t="shared" si="7"/>
        <v>12.834745053693512</v>
      </c>
    </row>
    <row r="59" spans="1:8" x14ac:dyDescent="0.15">
      <c r="A59">
        <v>59</v>
      </c>
      <c r="C59">
        <f t="shared" si="4"/>
        <v>12.457661080278749</v>
      </c>
      <c r="D59">
        <f t="shared" si="5"/>
        <v>11.719966958042527</v>
      </c>
      <c r="E59">
        <v>59</v>
      </c>
      <c r="G59">
        <f t="shared" si="6"/>
        <v>12.204733232450078</v>
      </c>
      <c r="H59">
        <f t="shared" si="7"/>
        <v>12.932238514272253</v>
      </c>
    </row>
    <row r="60" spans="1:8" x14ac:dyDescent="0.15">
      <c r="A60">
        <v>60</v>
      </c>
      <c r="C60">
        <f t="shared" si="4"/>
        <v>12.528554025282599</v>
      </c>
      <c r="D60">
        <f t="shared" si="5"/>
        <v>11.78788349567402</v>
      </c>
      <c r="E60">
        <v>60</v>
      </c>
      <c r="G60">
        <f t="shared" si="6"/>
        <v>12.298619618165628</v>
      </c>
      <c r="H60">
        <f t="shared" si="7"/>
        <v>13.029827542734788</v>
      </c>
    </row>
    <row r="61" spans="1:8" x14ac:dyDescent="0.15">
      <c r="A61">
        <v>61</v>
      </c>
      <c r="C61">
        <f t="shared" si="4"/>
        <v>12.599446970286447</v>
      </c>
      <c r="D61">
        <f t="shared" si="5"/>
        <v>11.855748397745797</v>
      </c>
      <c r="E61">
        <v>61</v>
      </c>
      <c r="G61">
        <f t="shared" si="6"/>
        <v>12.392506003881174</v>
      </c>
      <c r="H61">
        <f t="shared" si="7"/>
        <v>13.127510694790796</v>
      </c>
    </row>
    <row r="62" spans="1:8" x14ac:dyDescent="0.15">
      <c r="A62">
        <v>62</v>
      </c>
      <c r="C62">
        <f t="shared" si="4"/>
        <v>12.670339915290299</v>
      </c>
      <c r="D62">
        <f t="shared" si="5"/>
        <v>11.923562292375076</v>
      </c>
      <c r="E62">
        <v>62</v>
      </c>
      <c r="G62">
        <f t="shared" si="6"/>
        <v>12.486392389596721</v>
      </c>
      <c r="H62">
        <f t="shared" si="7"/>
        <v>13.22528651949518</v>
      </c>
    </row>
    <row r="63" spans="1:8" x14ac:dyDescent="0.15">
      <c r="A63">
        <v>63</v>
      </c>
      <c r="C63">
        <f t="shared" si="4"/>
        <v>12.741232860294147</v>
      </c>
      <c r="D63">
        <f t="shared" si="5"/>
        <v>11.99132580785739</v>
      </c>
      <c r="E63">
        <v>63</v>
      </c>
      <c r="G63">
        <f t="shared" si="6"/>
        <v>12.580278775312269</v>
      </c>
      <c r="H63">
        <f t="shared" si="7"/>
        <v>13.323153561242231</v>
      </c>
    </row>
    <row r="64" spans="1:8" x14ac:dyDescent="0.15">
      <c r="A64">
        <v>64</v>
      </c>
      <c r="C64">
        <f t="shared" si="4"/>
        <v>12.812125805297997</v>
      </c>
      <c r="D64">
        <f t="shared" si="5"/>
        <v>12.059039572240037</v>
      </c>
      <c r="E64">
        <v>64</v>
      </c>
      <c r="G64">
        <f t="shared" si="6"/>
        <v>12.674165161027815</v>
      </c>
      <c r="H64">
        <f t="shared" si="7"/>
        <v>13.421110361678712</v>
      </c>
    </row>
    <row r="65" spans="1:8" x14ac:dyDescent="0.15">
      <c r="A65">
        <v>65</v>
      </c>
      <c r="C65">
        <f t="shared" ref="C65:C70" si="8">8.34587027005546+(A65-1)*0.0708929450038498</f>
        <v>12.883018750301847</v>
      </c>
      <c r="D65">
        <f t="shared" ref="D65:D70" si="9">0+1*C65-0.664175196038264*(1.00641025641026+(C65-9.19273622369672)^2/46.9123493847066)^0.5</f>
        <v>12.126704212911461</v>
      </c>
      <c r="E65">
        <v>65</v>
      </c>
      <c r="G65">
        <f t="shared" ref="G65:G70" si="10">6.75932286094833+(E65-1)*0.0938863857155474</f>
        <v>12.768051546743363</v>
      </c>
      <c r="H65">
        <f t="shared" ref="H65:H70" si="11">0+1*G65+0.664175196038264*(1.00641025641026+(G65-9.19273622369672)^2/46.9123493847066)^0.5</f>
        <v>13.519155461533567</v>
      </c>
    </row>
    <row r="66" spans="1:8" x14ac:dyDescent="0.15">
      <c r="A66">
        <v>66</v>
      </c>
      <c r="C66">
        <f t="shared" si="8"/>
        <v>12.953911695305697</v>
      </c>
      <c r="D66">
        <f t="shared" si="9"/>
        <v>12.194320356206703</v>
      </c>
      <c r="E66">
        <v>66</v>
      </c>
      <c r="G66">
        <f t="shared" si="10"/>
        <v>12.861937932458911</v>
      </c>
      <c r="H66">
        <f t="shared" si="11"/>
        <v>13.617287402362589</v>
      </c>
    </row>
    <row r="67" spans="1:8" x14ac:dyDescent="0.15">
      <c r="A67">
        <v>67</v>
      </c>
      <c r="C67">
        <f t="shared" si="8"/>
        <v>13.024804640309547</v>
      </c>
      <c r="D67">
        <f t="shared" si="9"/>
        <v>12.261888627028965</v>
      </c>
      <c r="E67">
        <v>67</v>
      </c>
      <c r="G67">
        <f t="shared" si="10"/>
        <v>12.955824318174457</v>
      </c>
      <c r="H67">
        <f t="shared" si="11"/>
        <v>13.715504728206993</v>
      </c>
    </row>
    <row r="68" spans="1:8" x14ac:dyDescent="0.15">
      <c r="A68">
        <v>68</v>
      </c>
      <c r="C68">
        <f t="shared" si="8"/>
        <v>13.095697585313395</v>
      </c>
      <c r="D68">
        <f t="shared" si="9"/>
        <v>12.329409648487273</v>
      </c>
      <c r="E68">
        <v>68</v>
      </c>
      <c r="G68">
        <f t="shared" si="10"/>
        <v>13.049710703890005</v>
      </c>
      <c r="H68">
        <f t="shared" si="11"/>
        <v>13.813805987165248</v>
      </c>
    </row>
    <row r="69" spans="1:8" x14ac:dyDescent="0.15">
      <c r="A69">
        <v>69</v>
      </c>
      <c r="C69">
        <f t="shared" si="8"/>
        <v>13.166590530317247</v>
      </c>
      <c r="D69">
        <f t="shared" si="9"/>
        <v>12.396884041550198</v>
      </c>
      <c r="E69">
        <v>69</v>
      </c>
      <c r="G69">
        <f t="shared" si="10"/>
        <v>13.143597089605553</v>
      </c>
      <c r="H69">
        <f t="shared" si="11"/>
        <v>13.912189732878035</v>
      </c>
    </row>
    <row r="70" spans="1:8" x14ac:dyDescent="0.15">
      <c r="A70">
        <v>70</v>
      </c>
      <c r="C70">
        <f t="shared" si="8"/>
        <v>13.237483475321095</v>
      </c>
      <c r="D70">
        <f t="shared" si="9"/>
        <v>12.464312424715521</v>
      </c>
      <c r="E70">
        <v>70</v>
      </c>
      <c r="G70">
        <f t="shared" si="10"/>
        <v>13.237483475321099</v>
      </c>
      <c r="H70">
        <f t="shared" si="11"/>
        <v>14.010654525926673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XLSTAT_20211101_192320_1">
    <tabColor rgb="FF007800"/>
  </sheetPr>
  <dimension ref="B1:M314"/>
  <sheetViews>
    <sheetView topLeftCell="A35" zoomScaleNormal="100" workbookViewId="0">
      <selection activeCell="I56" sqref="I56"/>
    </sheetView>
  </sheetViews>
  <sheetFormatPr baseColWidth="10" defaultRowHeight="13" x14ac:dyDescent="0.15"/>
  <cols>
    <col min="1" max="1" width="5.83203125" customWidth="1"/>
  </cols>
  <sheetData>
    <row r="1" spans="2:9" x14ac:dyDescent="0.15">
      <c r="B1" t="s">
        <v>432</v>
      </c>
    </row>
    <row r="2" spans="2:9" x14ac:dyDescent="0.15">
      <c r="B2" t="s">
        <v>422</v>
      </c>
    </row>
    <row r="3" spans="2:9" x14ac:dyDescent="0.15">
      <c r="B3" t="s">
        <v>182</v>
      </c>
    </row>
    <row r="4" spans="2:9" x14ac:dyDescent="0.15">
      <c r="B4" t="s">
        <v>183</v>
      </c>
    </row>
    <row r="5" spans="2:9" x14ac:dyDescent="0.15">
      <c r="B5" t="s">
        <v>184</v>
      </c>
    </row>
    <row r="6" spans="2:9" ht="34.25" customHeight="1" x14ac:dyDescent="0.15"/>
    <row r="7" spans="2:9" ht="21" customHeight="1" x14ac:dyDescent="0.15">
      <c r="B7" s="4"/>
    </row>
    <row r="10" spans="2:9" x14ac:dyDescent="0.15">
      <c r="B10" s="4" t="s">
        <v>185</v>
      </c>
    </row>
    <row r="11" spans="2:9" ht="14" thickBot="1" x14ac:dyDescent="0.2"/>
    <row r="12" spans="2:9" ht="28" x14ac:dyDescent="0.15">
      <c r="B12" s="10" t="s">
        <v>186</v>
      </c>
      <c r="C12" s="11" t="s">
        <v>187</v>
      </c>
      <c r="D12" s="11" t="s">
        <v>188</v>
      </c>
      <c r="E12" s="11" t="s">
        <v>189</v>
      </c>
      <c r="F12" s="11" t="s">
        <v>190</v>
      </c>
      <c r="G12" s="11" t="s">
        <v>191</v>
      </c>
      <c r="H12" s="11" t="s">
        <v>192</v>
      </c>
      <c r="I12" s="11" t="s">
        <v>193</v>
      </c>
    </row>
    <row r="13" spans="2:9" x14ac:dyDescent="0.15">
      <c r="B13" s="12" t="s">
        <v>175</v>
      </c>
      <c r="C13" s="14">
        <v>156</v>
      </c>
      <c r="D13" s="14">
        <v>0</v>
      </c>
      <c r="E13" s="14">
        <v>156</v>
      </c>
      <c r="F13" s="17">
        <v>8.3101690219819115</v>
      </c>
      <c r="G13" s="17">
        <v>11.269349588141523</v>
      </c>
      <c r="H13" s="17">
        <v>9.1211622522953828</v>
      </c>
      <c r="I13" s="17">
        <v>0.71054968418481168</v>
      </c>
    </row>
    <row r="14" spans="2:9" x14ac:dyDescent="0.15">
      <c r="B14" s="9" t="s">
        <v>169</v>
      </c>
      <c r="C14" s="15">
        <v>156</v>
      </c>
      <c r="D14" s="15">
        <v>0</v>
      </c>
      <c r="E14" s="15">
        <v>156</v>
      </c>
      <c r="F14" s="18">
        <v>1.2697605448639391</v>
      </c>
      <c r="G14" s="18">
        <v>1.7900914121273581</v>
      </c>
      <c r="H14" s="18">
        <v>1.6815474706308642</v>
      </c>
      <c r="I14" s="18">
        <v>0.10972903254880841</v>
      </c>
    </row>
    <row r="15" spans="2:9" x14ac:dyDescent="0.15">
      <c r="B15" s="9" t="s">
        <v>172</v>
      </c>
      <c r="C15" s="15">
        <v>156</v>
      </c>
      <c r="D15" s="15">
        <v>0</v>
      </c>
      <c r="E15" s="15">
        <v>156</v>
      </c>
      <c r="F15" s="18">
        <v>0.95551144502743635</v>
      </c>
      <c r="G15" s="18">
        <v>1.8389610707123492</v>
      </c>
      <c r="H15" s="18">
        <v>1.6373149418496353</v>
      </c>
      <c r="I15" s="18">
        <v>0.16067138311417037</v>
      </c>
    </row>
    <row r="16" spans="2:9" x14ac:dyDescent="0.15">
      <c r="B16" s="9" t="s">
        <v>174</v>
      </c>
      <c r="C16" s="15">
        <v>156</v>
      </c>
      <c r="D16" s="15">
        <v>0</v>
      </c>
      <c r="E16" s="15">
        <v>156</v>
      </c>
      <c r="F16" s="18">
        <v>0.51282362642866375</v>
      </c>
      <c r="G16" s="18">
        <v>1.2697605448639391</v>
      </c>
      <c r="H16" s="18">
        <v>0.98958105793969375</v>
      </c>
      <c r="I16" s="18">
        <v>0.13885612952641049</v>
      </c>
    </row>
    <row r="17" spans="2:9" x14ac:dyDescent="0.15">
      <c r="B17" s="9" t="s">
        <v>176</v>
      </c>
      <c r="C17" s="15">
        <v>156</v>
      </c>
      <c r="D17" s="15">
        <v>0</v>
      </c>
      <c r="E17" s="15">
        <v>156</v>
      </c>
      <c r="F17" s="18">
        <v>0.79750719588418817</v>
      </c>
      <c r="G17" s="18">
        <v>1.4906543764441336</v>
      </c>
      <c r="H17" s="18">
        <v>1.3504303899660413</v>
      </c>
      <c r="I17" s="18">
        <v>0.16707255202732604</v>
      </c>
    </row>
    <row r="18" spans="2:9" x14ac:dyDescent="0.15">
      <c r="B18" s="9" t="s">
        <v>178</v>
      </c>
      <c r="C18" s="15">
        <v>156</v>
      </c>
      <c r="D18" s="15">
        <v>0</v>
      </c>
      <c r="E18" s="15">
        <v>156</v>
      </c>
      <c r="F18" s="18">
        <v>0.86710048768338333</v>
      </c>
      <c r="G18" s="18">
        <v>1.6074359097634274</v>
      </c>
      <c r="H18" s="18">
        <v>1.3893426950776187</v>
      </c>
      <c r="I18" s="18">
        <v>0.14655049570642012</v>
      </c>
    </row>
    <row r="19" spans="2:9" ht="14" thickBot="1" x14ac:dyDescent="0.2">
      <c r="B19" s="13" t="s">
        <v>180</v>
      </c>
      <c r="C19" s="16">
        <v>156</v>
      </c>
      <c r="D19" s="16">
        <v>0</v>
      </c>
      <c r="E19" s="16">
        <v>156</v>
      </c>
      <c r="F19" s="19">
        <v>0.62593843086649537</v>
      </c>
      <c r="G19" s="19">
        <v>1.0986122886681098</v>
      </c>
      <c r="H19" s="19">
        <v>0.95585774489534447</v>
      </c>
      <c r="I19" s="19">
        <v>0.12442606208269026</v>
      </c>
    </row>
    <row r="22" spans="2:9" x14ac:dyDescent="0.15">
      <c r="B22" s="4" t="s">
        <v>194</v>
      </c>
    </row>
    <row r="23" spans="2:9" ht="14" thickBot="1" x14ac:dyDescent="0.2"/>
    <row r="24" spans="2:9" ht="28" x14ac:dyDescent="0.15">
      <c r="B24" s="10"/>
      <c r="C24" s="11" t="s">
        <v>169</v>
      </c>
      <c r="D24" s="11" t="s">
        <v>172</v>
      </c>
      <c r="E24" s="11" t="s">
        <v>174</v>
      </c>
      <c r="F24" s="11" t="s">
        <v>176</v>
      </c>
      <c r="G24" s="11" t="s">
        <v>178</v>
      </c>
      <c r="H24" s="11" t="s">
        <v>180</v>
      </c>
      <c r="I24" s="20" t="s">
        <v>175</v>
      </c>
    </row>
    <row r="25" spans="2:9" x14ac:dyDescent="0.15">
      <c r="B25" s="21" t="s">
        <v>169</v>
      </c>
      <c r="C25" s="27">
        <v>1</v>
      </c>
      <c r="D25" s="23">
        <v>-1.5875315508602807E-2</v>
      </c>
      <c r="E25" s="23">
        <v>0.30280790412706204</v>
      </c>
      <c r="F25" s="23">
        <v>0.11528187100139364</v>
      </c>
      <c r="G25" s="23">
        <v>0.10593256600628163</v>
      </c>
      <c r="H25" s="23">
        <v>0.26312060057623965</v>
      </c>
      <c r="I25" s="24">
        <v>3.7268813607959007E-2</v>
      </c>
    </row>
    <row r="26" spans="2:9" x14ac:dyDescent="0.15">
      <c r="B26" s="9" t="s">
        <v>172</v>
      </c>
      <c r="C26" s="18">
        <v>-1.5875315508602807E-2</v>
      </c>
      <c r="D26" s="2">
        <v>1</v>
      </c>
      <c r="E26" s="18">
        <v>2.5661954373896949E-2</v>
      </c>
      <c r="F26" s="18">
        <v>2.690850432760741E-2</v>
      </c>
      <c r="G26" s="18">
        <v>7.7924085921378214E-2</v>
      </c>
      <c r="H26" s="18">
        <v>0.20281919970093448</v>
      </c>
      <c r="I26" s="25">
        <v>5.1267658177263808E-2</v>
      </c>
    </row>
    <row r="27" spans="2:9" x14ac:dyDescent="0.15">
      <c r="B27" s="9" t="s">
        <v>174</v>
      </c>
      <c r="C27" s="18">
        <v>0.30280790412706204</v>
      </c>
      <c r="D27" s="18">
        <v>2.5661954373896949E-2</v>
      </c>
      <c r="E27" s="2">
        <v>1</v>
      </c>
      <c r="F27" s="18">
        <v>-6.9728324283180224E-2</v>
      </c>
      <c r="G27" s="18">
        <v>-6.9512189983491582E-2</v>
      </c>
      <c r="H27" s="18">
        <v>0.19184387522268667</v>
      </c>
      <c r="I27" s="25">
        <v>0.18056765865541802</v>
      </c>
    </row>
    <row r="28" spans="2:9" x14ac:dyDescent="0.15">
      <c r="B28" s="9" t="s">
        <v>176</v>
      </c>
      <c r="C28" s="18">
        <v>0.11528187100139364</v>
      </c>
      <c r="D28" s="18">
        <v>2.690850432760741E-2</v>
      </c>
      <c r="E28" s="18">
        <v>-6.9728324283180224E-2</v>
      </c>
      <c r="F28" s="2">
        <v>1</v>
      </c>
      <c r="G28" s="18">
        <v>5.8766758472414372E-4</v>
      </c>
      <c r="H28" s="18">
        <v>-2.5518683079415367E-2</v>
      </c>
      <c r="I28" s="25">
        <v>-0.87752541041458476</v>
      </c>
    </row>
    <row r="29" spans="2:9" x14ac:dyDescent="0.15">
      <c r="B29" s="9" t="s">
        <v>178</v>
      </c>
      <c r="C29" s="18">
        <v>0.10593256600628163</v>
      </c>
      <c r="D29" s="18">
        <v>7.7924085921378214E-2</v>
      </c>
      <c r="E29" s="18">
        <v>-6.9512189983491582E-2</v>
      </c>
      <c r="F29" s="18">
        <v>5.8766758472414372E-4</v>
      </c>
      <c r="G29" s="2">
        <v>1</v>
      </c>
      <c r="H29" s="18">
        <v>4.2788420832566912E-2</v>
      </c>
      <c r="I29" s="25">
        <v>0.11270638879385131</v>
      </c>
    </row>
    <row r="30" spans="2:9" x14ac:dyDescent="0.15">
      <c r="B30" s="9" t="s">
        <v>180</v>
      </c>
      <c r="C30" s="18">
        <v>0.26312060057623965</v>
      </c>
      <c r="D30" s="18">
        <v>0.20281919970093448</v>
      </c>
      <c r="E30" s="18">
        <v>0.19184387522268667</v>
      </c>
      <c r="F30" s="18">
        <v>-2.5518683079415367E-2</v>
      </c>
      <c r="G30" s="18">
        <v>4.2788420832566912E-2</v>
      </c>
      <c r="H30" s="2">
        <v>1</v>
      </c>
      <c r="I30" s="25">
        <v>9.8248381175583044E-2</v>
      </c>
    </row>
    <row r="31" spans="2:9" ht="14" thickBot="1" x14ac:dyDescent="0.2">
      <c r="B31" s="22" t="s">
        <v>175</v>
      </c>
      <c r="C31" s="26">
        <v>3.7268813607959007E-2</v>
      </c>
      <c r="D31" s="26">
        <v>5.1267658177263808E-2</v>
      </c>
      <c r="E31" s="26">
        <v>0.18056765865541802</v>
      </c>
      <c r="F31" s="26">
        <v>-0.87752541041458476</v>
      </c>
      <c r="G31" s="26">
        <v>0.11270638879385131</v>
      </c>
      <c r="H31" s="26">
        <v>9.8248381175583044E-2</v>
      </c>
      <c r="I31" s="28">
        <v>1</v>
      </c>
    </row>
    <row r="34" spans="2:3" x14ac:dyDescent="0.15">
      <c r="B34" s="8" t="s">
        <v>423</v>
      </c>
    </row>
    <row r="36" spans="2:3" x14ac:dyDescent="0.15">
      <c r="B36" s="4" t="s">
        <v>424</v>
      </c>
    </row>
    <row r="37" spans="2:3" ht="14" thickBot="1" x14ac:dyDescent="0.2"/>
    <row r="38" spans="2:3" x14ac:dyDescent="0.15">
      <c r="B38" s="29" t="s">
        <v>187</v>
      </c>
      <c r="C38" s="30">
        <v>156</v>
      </c>
    </row>
    <row r="39" spans="2:3" x14ac:dyDescent="0.15">
      <c r="B39" s="9" t="s">
        <v>197</v>
      </c>
      <c r="C39" s="15">
        <v>156</v>
      </c>
    </row>
    <row r="40" spans="2:3" x14ac:dyDescent="0.15">
      <c r="B40" s="9" t="s">
        <v>198</v>
      </c>
      <c r="C40" s="15">
        <v>149</v>
      </c>
    </row>
    <row r="41" spans="2:3" x14ac:dyDescent="0.15">
      <c r="B41" s="9" t="s">
        <v>199</v>
      </c>
      <c r="C41" s="18">
        <v>0.81213992554313696</v>
      </c>
    </row>
    <row r="42" spans="2:3" x14ac:dyDescent="0.15">
      <c r="B42" s="9" t="s">
        <v>200</v>
      </c>
      <c r="C42" s="18">
        <v>0.80457509033010888</v>
      </c>
    </row>
    <row r="43" spans="2:3" x14ac:dyDescent="0.15">
      <c r="B43" s="9" t="s">
        <v>201</v>
      </c>
      <c r="C43" s="18">
        <v>9.8666295227429326E-2</v>
      </c>
    </row>
    <row r="44" spans="2:3" x14ac:dyDescent="0.15">
      <c r="B44" s="9" t="s">
        <v>202</v>
      </c>
      <c r="C44" s="18">
        <v>0.3141119151312623</v>
      </c>
    </row>
    <row r="45" spans="2:3" x14ac:dyDescent="0.15">
      <c r="B45" s="9" t="s">
        <v>203</v>
      </c>
      <c r="C45" s="18">
        <v>2.0963264123935503</v>
      </c>
    </row>
    <row r="46" spans="2:3" x14ac:dyDescent="0.15">
      <c r="B46" s="9" t="s">
        <v>204</v>
      </c>
      <c r="C46" s="18">
        <v>1.5375064836387906</v>
      </c>
    </row>
    <row r="47" spans="2:3" x14ac:dyDescent="0.15">
      <c r="B47" s="9" t="s">
        <v>205</v>
      </c>
      <c r="C47" s="18">
        <v>7</v>
      </c>
    </row>
    <row r="48" spans="2:3" x14ac:dyDescent="0.15">
      <c r="B48" s="9" t="s">
        <v>206</v>
      </c>
      <c r="C48" s="18">
        <v>-354.45976635897762</v>
      </c>
    </row>
    <row r="49" spans="2:8" x14ac:dyDescent="0.15">
      <c r="B49" s="9" t="s">
        <v>207</v>
      </c>
      <c r="C49" s="18">
        <v>-333.11077430823087</v>
      </c>
    </row>
    <row r="50" spans="2:8" ht="14" thickBot="1" x14ac:dyDescent="0.2">
      <c r="B50" s="13" t="s">
        <v>208</v>
      </c>
      <c r="C50" s="19">
        <v>0.20551135662059505</v>
      </c>
    </row>
    <row r="53" spans="2:8" x14ac:dyDescent="0.15">
      <c r="B53" s="4" t="s">
        <v>425</v>
      </c>
    </row>
    <row r="54" spans="2:8" ht="14" thickBot="1" x14ac:dyDescent="0.2"/>
    <row r="55" spans="2:8" ht="28" x14ac:dyDescent="0.15">
      <c r="B55" s="10" t="s">
        <v>210</v>
      </c>
      <c r="C55" s="11" t="s">
        <v>198</v>
      </c>
      <c r="D55" s="11" t="s">
        <v>211</v>
      </c>
      <c r="E55" s="11" t="s">
        <v>212</v>
      </c>
      <c r="F55" s="11" t="s">
        <v>213</v>
      </c>
      <c r="G55" s="11" t="s">
        <v>214</v>
      </c>
    </row>
    <row r="56" spans="2:8" x14ac:dyDescent="0.15">
      <c r="B56" s="21" t="s">
        <v>215</v>
      </c>
      <c r="C56" s="31">
        <v>6</v>
      </c>
      <c r="D56" s="23">
        <v>63.55525433385904</v>
      </c>
      <c r="E56" s="23">
        <v>10.592542388976506</v>
      </c>
      <c r="F56" s="23">
        <v>107.35725269262738</v>
      </c>
      <c r="G56" s="35">
        <v>1.5246517828008108E-51</v>
      </c>
    </row>
    <row r="57" spans="2:8" x14ac:dyDescent="0.15">
      <c r="B57" s="9" t="s">
        <v>216</v>
      </c>
      <c r="C57" s="15">
        <v>149</v>
      </c>
      <c r="D57" s="18">
        <v>14.70127798888697</v>
      </c>
      <c r="E57" s="18">
        <v>9.8666295227429326E-2</v>
      </c>
      <c r="F57" s="18"/>
      <c r="G57" s="36"/>
    </row>
    <row r="58" spans="2:8" ht="14" thickBot="1" x14ac:dyDescent="0.2">
      <c r="B58" s="13" t="s">
        <v>217</v>
      </c>
      <c r="C58" s="16">
        <v>155</v>
      </c>
      <c r="D58" s="19">
        <v>78.256532322746011</v>
      </c>
      <c r="E58" s="19"/>
      <c r="F58" s="19"/>
      <c r="G58" s="37"/>
    </row>
    <row r="59" spans="2:8" x14ac:dyDescent="0.15">
      <c r="B59" s="38" t="s">
        <v>218</v>
      </c>
    </row>
    <row r="62" spans="2:8" x14ac:dyDescent="0.15">
      <c r="B62" s="4" t="s">
        <v>426</v>
      </c>
    </row>
    <row r="63" spans="2:8" ht="14" thickBot="1" x14ac:dyDescent="0.2"/>
    <row r="64" spans="2:8" ht="26" customHeight="1" x14ac:dyDescent="0.15">
      <c r="B64" s="41" t="s">
        <v>210</v>
      </c>
      <c r="C64" s="42" t="s">
        <v>220</v>
      </c>
      <c r="D64" s="42" t="s">
        <v>221</v>
      </c>
      <c r="E64" s="42" t="s">
        <v>222</v>
      </c>
      <c r="F64" s="42" t="s">
        <v>223</v>
      </c>
      <c r="G64" s="42" t="s">
        <v>224</v>
      </c>
      <c r="H64" s="42" t="s">
        <v>225</v>
      </c>
    </row>
    <row r="65" spans="2:8" x14ac:dyDescent="0.15">
      <c r="B65" s="43" t="s">
        <v>226</v>
      </c>
      <c r="C65" s="44">
        <v>11.432234845245366</v>
      </c>
      <c r="D65" s="44">
        <v>0.53515034813087037</v>
      </c>
      <c r="E65" s="44">
        <v>21.362659830410177</v>
      </c>
      <c r="F65" s="45">
        <v>3.2901730143771943E-47</v>
      </c>
      <c r="G65" s="44">
        <v>10.374770705293811</v>
      </c>
      <c r="H65" s="44">
        <v>12.489698985196922</v>
      </c>
    </row>
    <row r="66" spans="2:8" x14ac:dyDescent="0.15">
      <c r="B66" s="46" t="s">
        <v>169</v>
      </c>
      <c r="C66" s="47">
        <v>0.62964655001266723</v>
      </c>
      <c r="D66" s="47">
        <v>0.25308445411827002</v>
      </c>
      <c r="E66" s="47">
        <v>2.4878910567870136</v>
      </c>
      <c r="F66" s="48">
        <v>1.39516855313917E-2</v>
      </c>
      <c r="G66" s="47">
        <v>0.12954833360669105</v>
      </c>
      <c r="H66" s="47">
        <v>1.1297447664186433</v>
      </c>
    </row>
    <row r="67" spans="2:8" x14ac:dyDescent="0.15">
      <c r="B67" s="46" t="s">
        <v>172</v>
      </c>
      <c r="C67" s="47">
        <v>0.27885398126714478</v>
      </c>
      <c r="D67" s="47">
        <v>0.16147655639912964</v>
      </c>
      <c r="E67" s="47">
        <v>1.7269007185036045</v>
      </c>
      <c r="F67" s="49">
        <v>8.6257921983468488E-2</v>
      </c>
      <c r="G67" s="47">
        <v>-4.0225822065406702E-2</v>
      </c>
      <c r="H67" s="47">
        <v>0.59793378459969626</v>
      </c>
    </row>
    <row r="68" spans="2:8" x14ac:dyDescent="0.15">
      <c r="B68" s="46" t="s">
        <v>174</v>
      </c>
      <c r="C68" s="47">
        <v>0.47173087737686009</v>
      </c>
      <c r="D68" s="47">
        <v>0.19439253051738989</v>
      </c>
      <c r="E68" s="47">
        <v>2.4266924049052396</v>
      </c>
      <c r="F68" s="48">
        <v>1.6430960438490905E-2</v>
      </c>
      <c r="G68" s="47">
        <v>8.7608675430150107E-2</v>
      </c>
      <c r="H68" s="47">
        <v>0.85585307932357013</v>
      </c>
    </row>
    <row r="69" spans="2:8" x14ac:dyDescent="0.15">
      <c r="B69" s="46" t="s">
        <v>176</v>
      </c>
      <c r="C69" s="47">
        <v>-3.7582249240251286</v>
      </c>
      <c r="D69" s="47">
        <v>0.15331817349800461</v>
      </c>
      <c r="E69" s="47">
        <v>-24.512586070391979</v>
      </c>
      <c r="F69" s="48">
        <v>0</v>
      </c>
      <c r="G69" s="47">
        <v>-4.0611836552364231</v>
      </c>
      <c r="H69" s="47">
        <v>-3.4552661928138342</v>
      </c>
    </row>
    <row r="70" spans="2:8" x14ac:dyDescent="0.15">
      <c r="B70" s="46" t="s">
        <v>178</v>
      </c>
      <c r="C70" s="47">
        <v>0.50312610132102453</v>
      </c>
      <c r="D70" s="47">
        <v>0.17482653407263832</v>
      </c>
      <c r="E70" s="47">
        <v>2.8778589245038839</v>
      </c>
      <c r="F70" s="48">
        <v>4.5927518571795556E-3</v>
      </c>
      <c r="G70" s="47">
        <v>0.15766656618376346</v>
      </c>
      <c r="H70" s="47">
        <v>0.84858563645828555</v>
      </c>
    </row>
    <row r="71" spans="2:8" ht="14" thickBot="1" x14ac:dyDescent="0.2">
      <c r="B71" s="50" t="s">
        <v>180</v>
      </c>
      <c r="C71" s="51">
        <v>8.6797108948032733E-2</v>
      </c>
      <c r="D71" s="51">
        <v>0.21702576174089422</v>
      </c>
      <c r="E71" s="51">
        <v>0.39993919731823951</v>
      </c>
      <c r="F71" s="52">
        <v>0.68977406582055756</v>
      </c>
      <c r="G71" s="51">
        <v>-0.34204865615000818</v>
      </c>
      <c r="H71" s="51">
        <v>0.51564287404607367</v>
      </c>
    </row>
    <row r="74" spans="2:8" x14ac:dyDescent="0.15">
      <c r="B74" s="4" t="s">
        <v>427</v>
      </c>
    </row>
    <row r="76" spans="2:8" x14ac:dyDescent="0.15">
      <c r="B76" t="s">
        <v>428</v>
      </c>
    </row>
    <row r="79" spans="2:8" x14ac:dyDescent="0.15">
      <c r="B79" s="4" t="s">
        <v>429</v>
      </c>
    </row>
    <row r="80" spans="2:8" ht="14" thickBot="1" x14ac:dyDescent="0.2"/>
    <row r="81" spans="2:8" ht="26" customHeight="1" x14ac:dyDescent="0.15">
      <c r="B81" s="10" t="s">
        <v>210</v>
      </c>
      <c r="C81" s="11" t="s">
        <v>220</v>
      </c>
      <c r="D81" s="11" t="s">
        <v>221</v>
      </c>
      <c r="E81" s="11" t="s">
        <v>222</v>
      </c>
      <c r="F81" s="11" t="s">
        <v>223</v>
      </c>
      <c r="G81" s="11" t="s">
        <v>224</v>
      </c>
      <c r="H81" s="11" t="s">
        <v>225</v>
      </c>
    </row>
    <row r="82" spans="2:8" x14ac:dyDescent="0.15">
      <c r="B82" s="21" t="s">
        <v>169</v>
      </c>
      <c r="C82" s="23">
        <v>9.7235293067296127E-2</v>
      </c>
      <c r="D82" s="23">
        <v>3.9083420796114217E-2</v>
      </c>
      <c r="E82" s="23">
        <v>2.4878910567870132</v>
      </c>
      <c r="F82" s="35">
        <v>1.39516855313917E-2</v>
      </c>
      <c r="G82" s="23">
        <v>2.0005938545002794E-2</v>
      </c>
      <c r="H82" s="23">
        <v>0.17446464758958946</v>
      </c>
    </row>
    <row r="83" spans="2:8" x14ac:dyDescent="0.15">
      <c r="B83" s="9" t="s">
        <v>172</v>
      </c>
      <c r="C83" s="18">
        <v>6.3055203392971701E-2</v>
      </c>
      <c r="D83" s="18">
        <v>3.6513508111578274E-2</v>
      </c>
      <c r="E83" s="18">
        <v>1.7269007185036043</v>
      </c>
      <c r="F83" s="33">
        <v>8.6257921983468488E-2</v>
      </c>
      <c r="G83" s="18">
        <v>-9.0959697991680188E-3</v>
      </c>
      <c r="H83" s="18">
        <v>0.13520637658511142</v>
      </c>
    </row>
    <row r="84" spans="2:8" x14ac:dyDescent="0.15">
      <c r="B84" s="9" t="s">
        <v>174</v>
      </c>
      <c r="C84" s="18">
        <v>9.2185986805127476E-2</v>
      </c>
      <c r="D84" s="18">
        <v>3.7988327906242104E-2</v>
      </c>
      <c r="E84" s="18">
        <v>2.4266924049052396</v>
      </c>
      <c r="F84" s="36">
        <v>1.6430960438490905E-2</v>
      </c>
      <c r="G84" s="18">
        <v>1.7120550264015169E-2</v>
      </c>
      <c r="H84" s="18">
        <v>0.16725142334623977</v>
      </c>
    </row>
    <row r="85" spans="2:8" x14ac:dyDescent="0.15">
      <c r="B85" s="9" t="s">
        <v>176</v>
      </c>
      <c r="C85" s="18">
        <v>-0.88367674087413728</v>
      </c>
      <c r="D85" s="18">
        <v>3.6049918941090588E-2</v>
      </c>
      <c r="E85" s="18">
        <v>-24.512586070391983</v>
      </c>
      <c r="F85" s="36">
        <v>0</v>
      </c>
      <c r="G85" s="18">
        <v>-0.95491185575635928</v>
      </c>
      <c r="H85" s="18">
        <v>-0.81244162599191527</v>
      </c>
    </row>
    <row r="86" spans="2:8" x14ac:dyDescent="0.15">
      <c r="B86" s="9" t="s">
        <v>178</v>
      </c>
      <c r="C86" s="18">
        <v>0.10376949169434418</v>
      </c>
      <c r="D86" s="18">
        <v>3.605787997833601E-2</v>
      </c>
      <c r="E86" s="18">
        <v>2.8778589245038835</v>
      </c>
      <c r="F86" s="36">
        <v>4.5927518571795556E-3</v>
      </c>
      <c r="G86" s="18">
        <v>3.2518645697617116E-2</v>
      </c>
      <c r="H86" s="18">
        <v>0.17502033769107125</v>
      </c>
    </row>
    <row r="87" spans="2:8" ht="14" thickBot="1" x14ac:dyDescent="0.2">
      <c r="B87" s="13" t="s">
        <v>180</v>
      </c>
      <c r="C87" s="19">
        <v>1.5199250252227195E-2</v>
      </c>
      <c r="D87" s="19">
        <v>3.8003902478538132E-2</v>
      </c>
      <c r="E87" s="19">
        <v>0.39993919731823957</v>
      </c>
      <c r="F87" s="34">
        <v>0.68977406582055756</v>
      </c>
      <c r="G87" s="19">
        <v>-5.9896961848978927E-2</v>
      </c>
      <c r="H87" s="19">
        <v>9.0295462353433317E-2</v>
      </c>
    </row>
    <row r="109" spans="2:6" x14ac:dyDescent="0.15">
      <c r="F109" t="s">
        <v>230</v>
      </c>
    </row>
    <row r="112" spans="2:6" x14ac:dyDescent="0.15">
      <c r="B112" s="4" t="s">
        <v>430</v>
      </c>
    </row>
    <row r="113" spans="2:13" ht="14" thickBot="1" x14ac:dyDescent="0.2"/>
    <row r="114" spans="2:13" ht="56" x14ac:dyDescent="0.15">
      <c r="B114" s="10" t="s">
        <v>232</v>
      </c>
      <c r="C114" s="11" t="s">
        <v>233</v>
      </c>
      <c r="D114" s="11" t="s">
        <v>175</v>
      </c>
      <c r="E114" s="11" t="s">
        <v>431</v>
      </c>
      <c r="F114" s="11" t="s">
        <v>391</v>
      </c>
      <c r="G114" s="11" t="s">
        <v>392</v>
      </c>
      <c r="H114" s="11" t="s">
        <v>393</v>
      </c>
      <c r="I114" s="11" t="s">
        <v>394</v>
      </c>
      <c r="J114" s="11" t="s">
        <v>395</v>
      </c>
      <c r="K114" s="11" t="s">
        <v>396</v>
      </c>
      <c r="L114" s="11" t="s">
        <v>397</v>
      </c>
      <c r="M114" s="11" t="s">
        <v>398</v>
      </c>
    </row>
    <row r="115" spans="2:13" x14ac:dyDescent="0.15">
      <c r="B115" s="21" t="s">
        <v>234</v>
      </c>
      <c r="C115" s="31">
        <v>1</v>
      </c>
      <c r="D115" s="23">
        <v>8.8101612682972554</v>
      </c>
      <c r="E115" s="23">
        <v>8.8805580792459082</v>
      </c>
      <c r="F115" s="23">
        <v>-7.0396810948652799E-2</v>
      </c>
      <c r="G115" s="23">
        <v>-0.22411378733988843</v>
      </c>
      <c r="H115" s="23">
        <v>4.0032438251776083E-2</v>
      </c>
      <c r="I115" s="23">
        <v>8.8014534537253706</v>
      </c>
      <c r="J115" s="23">
        <v>8.9596627047664459</v>
      </c>
      <c r="K115" s="23">
        <v>0.31665263513795616</v>
      </c>
      <c r="L115" s="23">
        <v>8.2548482994633012</v>
      </c>
      <c r="M115" s="23">
        <v>9.5062678590285152</v>
      </c>
    </row>
    <row r="116" spans="2:13" x14ac:dyDescent="0.15">
      <c r="B116" s="9" t="s">
        <v>235</v>
      </c>
      <c r="C116" s="15">
        <v>1</v>
      </c>
      <c r="D116" s="18">
        <v>8.5151911887455647</v>
      </c>
      <c r="E116" s="18">
        <v>8.8763974721167944</v>
      </c>
      <c r="F116" s="18">
        <v>-0.36120628337122973</v>
      </c>
      <c r="G116" s="18">
        <v>-1.149928627254676</v>
      </c>
      <c r="H116" s="18">
        <v>3.8761125477354476E-2</v>
      </c>
      <c r="I116" s="18">
        <v>8.7998049773914779</v>
      </c>
      <c r="J116" s="18">
        <v>8.9529899668421109</v>
      </c>
      <c r="K116" s="18">
        <v>0.316494423451189</v>
      </c>
      <c r="L116" s="18">
        <v>8.2510003207121034</v>
      </c>
      <c r="M116" s="18">
        <v>9.5017946235214854</v>
      </c>
    </row>
    <row r="117" spans="2:13" x14ac:dyDescent="0.15">
      <c r="B117" s="9" t="s">
        <v>236</v>
      </c>
      <c r="C117" s="15">
        <v>1</v>
      </c>
      <c r="D117" s="18">
        <v>8.6448825525571262</v>
      </c>
      <c r="E117" s="18">
        <v>8.7645008147963299</v>
      </c>
      <c r="F117" s="18">
        <v>-0.11961826223920369</v>
      </c>
      <c r="G117" s="18">
        <v>-0.3808141508710905</v>
      </c>
      <c r="H117" s="18">
        <v>6.3586396523425792E-2</v>
      </c>
      <c r="I117" s="18">
        <v>8.6388532573442713</v>
      </c>
      <c r="J117" s="18">
        <v>8.8901483722483885</v>
      </c>
      <c r="K117" s="18">
        <v>0.32048326797239146</v>
      </c>
      <c r="L117" s="18">
        <v>8.1312216540539897</v>
      </c>
      <c r="M117" s="18">
        <v>9.3977799755386702</v>
      </c>
    </row>
    <row r="118" spans="2:13" x14ac:dyDescent="0.15">
      <c r="B118" s="9" t="s">
        <v>237</v>
      </c>
      <c r="C118" s="15">
        <v>1</v>
      </c>
      <c r="D118" s="18">
        <v>10.08134080799053</v>
      </c>
      <c r="E118" s="18">
        <v>9.5414433566429171</v>
      </c>
      <c r="F118" s="18">
        <v>0.53989745134761336</v>
      </c>
      <c r="G118" s="18">
        <v>1.718806022121125</v>
      </c>
      <c r="H118" s="18">
        <v>4.962277411250942E-2</v>
      </c>
      <c r="I118" s="18">
        <v>9.4433881010831051</v>
      </c>
      <c r="J118" s="18">
        <v>9.6394986122027291</v>
      </c>
      <c r="K118" s="18">
        <v>0.31800741333819638</v>
      </c>
      <c r="L118" s="18">
        <v>8.9130565172837883</v>
      </c>
      <c r="M118" s="18">
        <v>10.169830196002046</v>
      </c>
    </row>
    <row r="119" spans="2:13" x14ac:dyDescent="0.15">
      <c r="B119" s="9" t="s">
        <v>238</v>
      </c>
      <c r="C119" s="15">
        <v>1</v>
      </c>
      <c r="D119" s="18">
        <v>8.7473520776243525</v>
      </c>
      <c r="E119" s="18">
        <v>8.8588819851706191</v>
      </c>
      <c r="F119" s="18">
        <v>-0.11152990754626657</v>
      </c>
      <c r="G119" s="18">
        <v>-0.35506423721513403</v>
      </c>
      <c r="H119" s="18">
        <v>4.4301867681430553E-2</v>
      </c>
      <c r="I119" s="18">
        <v>8.7713409108358693</v>
      </c>
      <c r="J119" s="18">
        <v>8.9464230595053689</v>
      </c>
      <c r="K119" s="18">
        <v>0.31722066563749013</v>
      </c>
      <c r="L119" s="18">
        <v>8.2320497696356032</v>
      </c>
      <c r="M119" s="18">
        <v>9.485714200705635</v>
      </c>
    </row>
    <row r="120" spans="2:13" x14ac:dyDescent="0.15">
      <c r="B120" s="9" t="s">
        <v>239</v>
      </c>
      <c r="C120" s="15">
        <v>1</v>
      </c>
      <c r="D120" s="18">
        <v>10.16681289348317</v>
      </c>
      <c r="E120" s="18">
        <v>9.9368272720053845</v>
      </c>
      <c r="F120" s="18">
        <v>0.22998562147778578</v>
      </c>
      <c r="G120" s="18">
        <v>0.73217732406514568</v>
      </c>
      <c r="H120" s="18">
        <v>5.6862127406599364E-2</v>
      </c>
      <c r="I120" s="18">
        <v>9.824466958938503</v>
      </c>
      <c r="J120" s="18">
        <v>10.049187585072266</v>
      </c>
      <c r="K120" s="18">
        <v>0.31921716238422027</v>
      </c>
      <c r="L120" s="18">
        <v>9.3060499525896159</v>
      </c>
      <c r="M120" s="18">
        <v>10.567604591421153</v>
      </c>
    </row>
    <row r="121" spans="2:13" x14ac:dyDescent="0.15">
      <c r="B121" s="9" t="s">
        <v>240</v>
      </c>
      <c r="C121" s="15">
        <v>1</v>
      </c>
      <c r="D121" s="18">
        <v>9.188708071849069</v>
      </c>
      <c r="E121" s="18">
        <v>9.4812472570739548</v>
      </c>
      <c r="F121" s="18">
        <v>-0.29253918522488576</v>
      </c>
      <c r="G121" s="18">
        <v>-0.93132151673596453</v>
      </c>
      <c r="H121" s="18">
        <v>0.10236755496286976</v>
      </c>
      <c r="I121" s="18">
        <v>9.2789676194995021</v>
      </c>
      <c r="J121" s="18">
        <v>9.6835268946484074</v>
      </c>
      <c r="K121" s="18">
        <v>0.33037162640957152</v>
      </c>
      <c r="L121" s="18">
        <v>8.828428569754033</v>
      </c>
      <c r="M121" s="18">
        <v>10.134065944393877</v>
      </c>
    </row>
    <row r="122" spans="2:13" x14ac:dyDescent="0.15">
      <c r="B122" s="9" t="s">
        <v>241</v>
      </c>
      <c r="C122" s="15">
        <v>1</v>
      </c>
      <c r="D122" s="18">
        <v>8.8604991676160161</v>
      </c>
      <c r="E122" s="18">
        <v>8.9761290239982472</v>
      </c>
      <c r="F122" s="18">
        <v>-0.11562985638223111</v>
      </c>
      <c r="G122" s="18">
        <v>-0.36811674696870783</v>
      </c>
      <c r="H122" s="18">
        <v>5.4168408312313912E-2</v>
      </c>
      <c r="I122" s="18">
        <v>8.8690915353586668</v>
      </c>
      <c r="J122" s="18">
        <v>9.0831665126378276</v>
      </c>
      <c r="K122" s="18">
        <v>0.31874835166086568</v>
      </c>
      <c r="L122" s="18">
        <v>8.3462780807496699</v>
      </c>
      <c r="M122" s="18">
        <v>9.6059799672468245</v>
      </c>
    </row>
    <row r="123" spans="2:13" x14ac:dyDescent="0.15">
      <c r="B123" s="9" t="s">
        <v>242</v>
      </c>
      <c r="C123" s="15">
        <v>1</v>
      </c>
      <c r="D123" s="18">
        <v>8.6319494287144263</v>
      </c>
      <c r="E123" s="18">
        <v>8.8224129289422759</v>
      </c>
      <c r="F123" s="18">
        <v>-0.19046350022784964</v>
      </c>
      <c r="G123" s="18">
        <v>-0.60635554098053879</v>
      </c>
      <c r="H123" s="18">
        <v>5.2047281848866839E-2</v>
      </c>
      <c r="I123" s="18">
        <v>8.7195668141460114</v>
      </c>
      <c r="J123" s="18">
        <v>8.9252590437385404</v>
      </c>
      <c r="K123" s="18">
        <v>0.3183947467771488</v>
      </c>
      <c r="L123" s="18">
        <v>8.1932607136036175</v>
      </c>
      <c r="M123" s="18">
        <v>9.4515651442809343</v>
      </c>
    </row>
    <row r="124" spans="2:13" x14ac:dyDescent="0.15">
      <c r="B124" s="9" t="s">
        <v>243</v>
      </c>
      <c r="C124" s="15">
        <v>1</v>
      </c>
      <c r="D124" s="18">
        <v>8.7861510548697392</v>
      </c>
      <c r="E124" s="18">
        <v>8.895134957890706</v>
      </c>
      <c r="F124" s="18">
        <v>-0.10898390302096672</v>
      </c>
      <c r="G124" s="18">
        <v>-0.34695883145796652</v>
      </c>
      <c r="H124" s="18">
        <v>3.6546841162356583E-2</v>
      </c>
      <c r="I124" s="18">
        <v>8.822917918150976</v>
      </c>
      <c r="J124" s="18">
        <v>8.9673519976304359</v>
      </c>
      <c r="K124" s="18">
        <v>0.31623087582710174</v>
      </c>
      <c r="L124" s="18">
        <v>8.2702585800641604</v>
      </c>
      <c r="M124" s="18">
        <v>9.5200113357172516</v>
      </c>
    </row>
    <row r="125" spans="2:13" x14ac:dyDescent="0.15">
      <c r="B125" s="9" t="s">
        <v>244</v>
      </c>
      <c r="C125" s="15">
        <v>1</v>
      </c>
      <c r="D125" s="18">
        <v>10.604726902993409</v>
      </c>
      <c r="E125" s="18">
        <v>10.400070693282881</v>
      </c>
      <c r="F125" s="18">
        <v>0.204656209710528</v>
      </c>
      <c r="G125" s="18">
        <v>0.65153914847517158</v>
      </c>
      <c r="H125" s="18">
        <v>0.11416806502044215</v>
      </c>
      <c r="I125" s="18">
        <v>10.174473092331212</v>
      </c>
      <c r="J125" s="18">
        <v>10.625668294234551</v>
      </c>
      <c r="K125" s="18">
        <v>0.33421646024386836</v>
      </c>
      <c r="L125" s="18">
        <v>9.7396545636403626</v>
      </c>
      <c r="M125" s="18">
        <v>11.0604868229254</v>
      </c>
    </row>
    <row r="126" spans="2:13" x14ac:dyDescent="0.15">
      <c r="B126" s="9" t="s">
        <v>245</v>
      </c>
      <c r="C126" s="15">
        <v>1</v>
      </c>
      <c r="D126" s="18">
        <v>8.6821990260005037</v>
      </c>
      <c r="E126" s="18">
        <v>9.1433763494145257</v>
      </c>
      <c r="F126" s="18">
        <v>-0.46117732341402196</v>
      </c>
      <c r="G126" s="18">
        <v>-1.4681943001789772</v>
      </c>
      <c r="H126" s="18">
        <v>6.4803810608081047E-2</v>
      </c>
      <c r="I126" s="18">
        <v>9.0153231656884838</v>
      </c>
      <c r="J126" s="18">
        <v>9.2714295331405676</v>
      </c>
      <c r="K126" s="18">
        <v>0.32072703206427328</v>
      </c>
      <c r="L126" s="18">
        <v>8.5096155076143791</v>
      </c>
      <c r="M126" s="18">
        <v>9.7771371912146723</v>
      </c>
    </row>
    <row r="127" spans="2:13" x14ac:dyDescent="0.15">
      <c r="B127" s="9" t="s">
        <v>246</v>
      </c>
      <c r="C127" s="15">
        <v>1</v>
      </c>
      <c r="D127" s="18">
        <v>8.8016199711473462</v>
      </c>
      <c r="E127" s="18">
        <v>9.2910262198342597</v>
      </c>
      <c r="F127" s="18">
        <v>-0.48940624868691351</v>
      </c>
      <c r="G127" s="18">
        <v>-1.5580633051834361</v>
      </c>
      <c r="H127" s="18">
        <v>3.8903977432942681E-2</v>
      </c>
      <c r="I127" s="18">
        <v>9.2141514477622426</v>
      </c>
      <c r="J127" s="18">
        <v>9.3679009919062768</v>
      </c>
      <c r="K127" s="18">
        <v>0.31651195030761831</v>
      </c>
      <c r="L127" s="18">
        <v>8.6655944351303003</v>
      </c>
      <c r="M127" s="18">
        <v>9.9164580045382191</v>
      </c>
    </row>
    <row r="128" spans="2:13" x14ac:dyDescent="0.15">
      <c r="B128" s="9" t="s">
        <v>247</v>
      </c>
      <c r="C128" s="15">
        <v>1</v>
      </c>
      <c r="D128" s="18">
        <v>9.311271090554623</v>
      </c>
      <c r="E128" s="18">
        <v>9.5247717603926301</v>
      </c>
      <c r="F128" s="18">
        <v>-0.21350066983800708</v>
      </c>
      <c r="G128" s="18">
        <v>-0.67969618328164538</v>
      </c>
      <c r="H128" s="18">
        <v>4.9901923489296264E-2</v>
      </c>
      <c r="I128" s="18">
        <v>9.426164901985743</v>
      </c>
      <c r="J128" s="18">
        <v>9.6233786187995172</v>
      </c>
      <c r="K128" s="18">
        <v>0.31805109211471183</v>
      </c>
      <c r="L128" s="18">
        <v>8.8962986111955225</v>
      </c>
      <c r="M128" s="18">
        <v>10.153244909589738</v>
      </c>
    </row>
    <row r="129" spans="2:13" x14ac:dyDescent="0.15">
      <c r="B129" s="9" t="s">
        <v>248</v>
      </c>
      <c r="C129" s="15">
        <v>1</v>
      </c>
      <c r="D129" s="18">
        <v>9.3877331355333844</v>
      </c>
      <c r="E129" s="18">
        <v>9.5802462357346183</v>
      </c>
      <c r="F129" s="18">
        <v>-0.19251310020123391</v>
      </c>
      <c r="G129" s="18">
        <v>-0.61288060378348208</v>
      </c>
      <c r="H129" s="18">
        <v>3.8540586954245483E-2</v>
      </c>
      <c r="I129" s="18">
        <v>9.504089528037154</v>
      </c>
      <c r="J129" s="18">
        <v>9.6564029434320826</v>
      </c>
      <c r="K129" s="18">
        <v>0.31646748975243427</v>
      </c>
      <c r="L129" s="18">
        <v>8.9549023056735901</v>
      </c>
      <c r="M129" s="18">
        <v>10.205590165795646</v>
      </c>
    </row>
    <row r="130" spans="2:13" x14ac:dyDescent="0.15">
      <c r="B130" s="9" t="s">
        <v>249</v>
      </c>
      <c r="C130" s="15">
        <v>1</v>
      </c>
      <c r="D130" s="18">
        <v>9.1315135914302115</v>
      </c>
      <c r="E130" s="18">
        <v>9.2700049602608185</v>
      </c>
      <c r="F130" s="18">
        <v>-0.13849136883060709</v>
      </c>
      <c r="G130" s="18">
        <v>-0.44089817087242228</v>
      </c>
      <c r="H130" s="18">
        <v>5.5918372482107653E-2</v>
      </c>
      <c r="I130" s="18">
        <v>9.1595095193612419</v>
      </c>
      <c r="J130" s="18">
        <v>9.3805004011603952</v>
      </c>
      <c r="K130" s="18">
        <v>0.31905040292793402</v>
      </c>
      <c r="L130" s="18">
        <v>8.6395571597281755</v>
      </c>
      <c r="M130" s="18">
        <v>9.9004527607934616</v>
      </c>
    </row>
    <row r="131" spans="2:13" x14ac:dyDescent="0.15">
      <c r="B131" s="9" t="s">
        <v>250</v>
      </c>
      <c r="C131" s="15">
        <v>1</v>
      </c>
      <c r="D131" s="18">
        <v>8.4757460015020634</v>
      </c>
      <c r="E131" s="18">
        <v>8.9012474241966419</v>
      </c>
      <c r="F131" s="18">
        <v>-0.42550142269457858</v>
      </c>
      <c r="G131" s="18">
        <v>-1.3546172628210185</v>
      </c>
      <c r="H131" s="18">
        <v>3.2565473490391274E-2</v>
      </c>
      <c r="I131" s="18">
        <v>8.8368976194419417</v>
      </c>
      <c r="J131" s="18">
        <v>8.9655972289513421</v>
      </c>
      <c r="K131" s="18">
        <v>0.3157955118285925</v>
      </c>
      <c r="L131" s="18">
        <v>8.2772313313682417</v>
      </c>
      <c r="M131" s="18">
        <v>9.5252635170250421</v>
      </c>
    </row>
    <row r="132" spans="2:13" x14ac:dyDescent="0.15">
      <c r="B132" s="9" t="s">
        <v>251</v>
      </c>
      <c r="C132" s="15">
        <v>1</v>
      </c>
      <c r="D132" s="18">
        <v>8.4945385008514318</v>
      </c>
      <c r="E132" s="18">
        <v>8.8724718826883606</v>
      </c>
      <c r="F132" s="18">
        <v>-0.37793338183692882</v>
      </c>
      <c r="G132" s="18">
        <v>-1.2031806615135774</v>
      </c>
      <c r="H132" s="18">
        <v>5.9501820515972699E-2</v>
      </c>
      <c r="I132" s="18">
        <v>8.7548955012523013</v>
      </c>
      <c r="J132" s="18">
        <v>8.9900482641244199</v>
      </c>
      <c r="K132" s="18">
        <v>0.31969792284615228</v>
      </c>
      <c r="L132" s="18">
        <v>8.240744574264502</v>
      </c>
      <c r="M132" s="18">
        <v>9.5041991911122192</v>
      </c>
    </row>
    <row r="133" spans="2:13" x14ac:dyDescent="0.15">
      <c r="B133" s="9" t="s">
        <v>252</v>
      </c>
      <c r="C133" s="15">
        <v>1</v>
      </c>
      <c r="D133" s="18">
        <v>8.3790798892866025</v>
      </c>
      <c r="E133" s="18">
        <v>8.7915837121524874</v>
      </c>
      <c r="F133" s="18">
        <v>-0.41250382286588483</v>
      </c>
      <c r="G133" s="18">
        <v>-1.3132383809557371</v>
      </c>
      <c r="H133" s="18">
        <v>4.8468585031225218E-2</v>
      </c>
      <c r="I133" s="18">
        <v>8.6958091494268377</v>
      </c>
      <c r="J133" s="18">
        <v>8.887358274878137</v>
      </c>
      <c r="K133" s="18">
        <v>0.31782935509854726</v>
      </c>
      <c r="L133" s="18">
        <v>8.1635487182213016</v>
      </c>
      <c r="M133" s="18">
        <v>9.4196187060836731</v>
      </c>
    </row>
    <row r="134" spans="2:13" x14ac:dyDescent="0.15">
      <c r="B134" s="9" t="s">
        <v>253</v>
      </c>
      <c r="C134" s="15">
        <v>1</v>
      </c>
      <c r="D134" s="18">
        <v>9.6361961697320808</v>
      </c>
      <c r="E134" s="18">
        <v>9.508587995786371</v>
      </c>
      <c r="F134" s="18">
        <v>0.12760817394570978</v>
      </c>
      <c r="G134" s="18">
        <v>0.40625066353304168</v>
      </c>
      <c r="H134" s="18">
        <v>5.0652656406864713E-2</v>
      </c>
      <c r="I134" s="18">
        <v>9.4084976792414441</v>
      </c>
      <c r="J134" s="18">
        <v>9.608678312331298</v>
      </c>
      <c r="K134" s="18">
        <v>0.31816974530665421</v>
      </c>
      <c r="L134" s="18">
        <v>8.8798803863184101</v>
      </c>
      <c r="M134" s="18">
        <v>10.137295605254332</v>
      </c>
    </row>
    <row r="135" spans="2:13" x14ac:dyDescent="0.15">
      <c r="B135" s="9" t="s">
        <v>254</v>
      </c>
      <c r="C135" s="15">
        <v>1</v>
      </c>
      <c r="D135" s="18">
        <v>8.7766300984277166</v>
      </c>
      <c r="E135" s="18">
        <v>8.7474205253084349</v>
      </c>
      <c r="F135" s="18">
        <v>2.9209573119281629E-2</v>
      </c>
      <c r="G135" s="18">
        <v>9.2990974592846692E-2</v>
      </c>
      <c r="H135" s="18">
        <v>5.5508128001769769E-2</v>
      </c>
      <c r="I135" s="18">
        <v>8.6377357329080802</v>
      </c>
      <c r="J135" s="18">
        <v>8.8571053177087897</v>
      </c>
      <c r="K135" s="18">
        <v>0.31897875713233659</v>
      </c>
      <c r="L135" s="18">
        <v>8.1171142978120194</v>
      </c>
      <c r="M135" s="18">
        <v>9.3777267528048505</v>
      </c>
    </row>
    <row r="136" spans="2:13" x14ac:dyDescent="0.15">
      <c r="B136" s="9" t="s">
        <v>255</v>
      </c>
      <c r="C136" s="15">
        <v>1</v>
      </c>
      <c r="D136" s="18">
        <v>8.3101690219819115</v>
      </c>
      <c r="E136" s="18">
        <v>8.899988034048901</v>
      </c>
      <c r="F136" s="18">
        <v>-0.5898190120669895</v>
      </c>
      <c r="G136" s="18">
        <v>-1.8777352391121924</v>
      </c>
      <c r="H136" s="18">
        <v>3.2555623952252505E-2</v>
      </c>
      <c r="I136" s="18">
        <v>8.8356576921113561</v>
      </c>
      <c r="J136" s="18">
        <v>8.964318375986446</v>
      </c>
      <c r="K136" s="18">
        <v>0.31579449627621725</v>
      </c>
      <c r="L136" s="18">
        <v>8.275973947965376</v>
      </c>
      <c r="M136" s="18">
        <v>9.5240021201324261</v>
      </c>
    </row>
    <row r="137" spans="2:13" x14ac:dyDescent="0.15">
      <c r="B137" s="9" t="s">
        <v>256</v>
      </c>
      <c r="C137" s="15">
        <v>1</v>
      </c>
      <c r="D137" s="18">
        <v>10.824487180138018</v>
      </c>
      <c r="E137" s="18">
        <v>10.784623353292524</v>
      </c>
      <c r="F137" s="18">
        <v>3.9863826845493833E-2</v>
      </c>
      <c r="G137" s="18">
        <v>0.1269096297376538</v>
      </c>
      <c r="H137" s="18">
        <v>8.2806005249465006E-2</v>
      </c>
      <c r="I137" s="18">
        <v>10.620997595727781</v>
      </c>
      <c r="J137" s="18">
        <v>10.948249110857267</v>
      </c>
      <c r="K137" s="18">
        <v>0.32484323870569287</v>
      </c>
      <c r="L137" s="18">
        <v>10.14272883292684</v>
      </c>
      <c r="M137" s="18">
        <v>11.426517873658208</v>
      </c>
    </row>
    <row r="138" spans="2:13" x14ac:dyDescent="0.15">
      <c r="B138" s="9" t="s">
        <v>257</v>
      </c>
      <c r="C138" s="15">
        <v>1</v>
      </c>
      <c r="D138" s="18">
        <v>8.3829758492964288</v>
      </c>
      <c r="E138" s="18">
        <v>8.7957529838968167</v>
      </c>
      <c r="F138" s="18">
        <v>-0.4127771346003879</v>
      </c>
      <c r="G138" s="18">
        <v>-1.3141084903700484</v>
      </c>
      <c r="H138" s="18">
        <v>5.8048046811025975E-2</v>
      </c>
      <c r="I138" s="18">
        <v>8.6810492784591098</v>
      </c>
      <c r="J138" s="18">
        <v>8.9104566893345236</v>
      </c>
      <c r="K138" s="18">
        <v>0.31943054169256324</v>
      </c>
      <c r="L138" s="18">
        <v>8.1645540241559154</v>
      </c>
      <c r="M138" s="18">
        <v>9.426951943637718</v>
      </c>
    </row>
    <row r="139" spans="2:13" x14ac:dyDescent="0.15">
      <c r="B139" s="9" t="s">
        <v>258</v>
      </c>
      <c r="C139" s="15">
        <v>1</v>
      </c>
      <c r="D139" s="18">
        <v>8.4744944368831217</v>
      </c>
      <c r="E139" s="18">
        <v>8.8297947957122904</v>
      </c>
      <c r="F139" s="18">
        <v>-0.35530035882916877</v>
      </c>
      <c r="G139" s="18">
        <v>-1.1311266517244165</v>
      </c>
      <c r="H139" s="18">
        <v>5.0678048260265007E-2</v>
      </c>
      <c r="I139" s="18">
        <v>8.7296543045304382</v>
      </c>
      <c r="J139" s="18">
        <v>8.9299352868941426</v>
      </c>
      <c r="K139" s="18">
        <v>0.31817378867986451</v>
      </c>
      <c r="L139" s="18">
        <v>8.2010791964855834</v>
      </c>
      <c r="M139" s="18">
        <v>9.4585103949389975</v>
      </c>
    </row>
    <row r="140" spans="2:13" x14ac:dyDescent="0.15">
      <c r="B140" s="9" t="s">
        <v>259</v>
      </c>
      <c r="C140" s="15">
        <v>1</v>
      </c>
      <c r="D140" s="18">
        <v>9.6413432638721854</v>
      </c>
      <c r="E140" s="18">
        <v>9.5157262909263007</v>
      </c>
      <c r="F140" s="18">
        <v>0.1256169729458847</v>
      </c>
      <c r="G140" s="18">
        <v>0.39991151845797185</v>
      </c>
      <c r="H140" s="18">
        <v>5.1628899960256207E-2</v>
      </c>
      <c r="I140" s="18">
        <v>9.4137069042552373</v>
      </c>
      <c r="J140" s="18">
        <v>9.6177456775973642</v>
      </c>
      <c r="K140" s="18">
        <v>0.31832662241561804</v>
      </c>
      <c r="L140" s="18">
        <v>8.8867086902237489</v>
      </c>
      <c r="M140" s="18">
        <v>10.144743891628853</v>
      </c>
    </row>
    <row r="141" spans="2:13" x14ac:dyDescent="0.15">
      <c r="B141" s="9" t="s">
        <v>260</v>
      </c>
      <c r="C141" s="15">
        <v>1</v>
      </c>
      <c r="D141" s="18">
        <v>8.4815660137730866</v>
      </c>
      <c r="E141" s="18">
        <v>8.879377917314434</v>
      </c>
      <c r="F141" s="18">
        <v>-0.39781190354134743</v>
      </c>
      <c r="G141" s="18">
        <v>-1.2664654996455906</v>
      </c>
      <c r="H141" s="18">
        <v>4.6576061337232022E-2</v>
      </c>
      <c r="I141" s="18">
        <v>8.7873430063472036</v>
      </c>
      <c r="J141" s="18">
        <v>8.9714128282816645</v>
      </c>
      <c r="K141" s="18">
        <v>0.31754625602755726</v>
      </c>
      <c r="L141" s="18">
        <v>8.2519023308781172</v>
      </c>
      <c r="M141" s="18">
        <v>9.5068535037507509</v>
      </c>
    </row>
    <row r="142" spans="2:13" x14ac:dyDescent="0.15">
      <c r="B142" s="9" t="s">
        <v>261</v>
      </c>
      <c r="C142" s="15">
        <v>1</v>
      </c>
      <c r="D142" s="18">
        <v>8.5682664616002384</v>
      </c>
      <c r="E142" s="18">
        <v>8.8888282457412071</v>
      </c>
      <c r="F142" s="18">
        <v>-0.3205617841409687</v>
      </c>
      <c r="G142" s="18">
        <v>-1.0205336655472337</v>
      </c>
      <c r="H142" s="18">
        <v>4.5003845295632117E-2</v>
      </c>
      <c r="I142" s="18">
        <v>8.7999000543903527</v>
      </c>
      <c r="J142" s="18">
        <v>8.9777564370920615</v>
      </c>
      <c r="K142" s="18">
        <v>0.31731946255914167</v>
      </c>
      <c r="L142" s="18">
        <v>8.2618008061870931</v>
      </c>
      <c r="M142" s="18">
        <v>9.5158556852953211</v>
      </c>
    </row>
    <row r="143" spans="2:13" x14ac:dyDescent="0.15">
      <c r="B143" s="9" t="s">
        <v>262</v>
      </c>
      <c r="C143" s="15">
        <v>1</v>
      </c>
      <c r="D143" s="18">
        <v>9.2085387500295539</v>
      </c>
      <c r="E143" s="18">
        <v>9.0228865553565143</v>
      </c>
      <c r="F143" s="18">
        <v>0.18565219467303962</v>
      </c>
      <c r="G143" s="18">
        <v>0.5910383711342454</v>
      </c>
      <c r="H143" s="18">
        <v>4.6393122111162019E-2</v>
      </c>
      <c r="I143" s="18">
        <v>8.9312131347107151</v>
      </c>
      <c r="J143" s="18">
        <v>9.1145599760023135</v>
      </c>
      <c r="K143" s="18">
        <v>0.31751947500373973</v>
      </c>
      <c r="L143" s="18">
        <v>8.3954638885761721</v>
      </c>
      <c r="M143" s="18">
        <v>9.6503092221368565</v>
      </c>
    </row>
    <row r="144" spans="2:13" x14ac:dyDescent="0.15">
      <c r="B144" s="9" t="s">
        <v>263</v>
      </c>
      <c r="C144" s="15">
        <v>1</v>
      </c>
      <c r="D144" s="18">
        <v>8.6425916008105705</v>
      </c>
      <c r="E144" s="18">
        <v>8.8598566879785192</v>
      </c>
      <c r="F144" s="18">
        <v>-0.21726508716794868</v>
      </c>
      <c r="G144" s="18">
        <v>-0.69168050208205922</v>
      </c>
      <c r="H144" s="18">
        <v>5.5086983860338216E-2</v>
      </c>
      <c r="I144" s="18">
        <v>8.7510040819513399</v>
      </c>
      <c r="J144" s="18">
        <v>8.9687092940056985</v>
      </c>
      <c r="K144" s="18">
        <v>0.31890574002086963</v>
      </c>
      <c r="L144" s="18">
        <v>8.2296947432565588</v>
      </c>
      <c r="M144" s="18">
        <v>9.4900186327004796</v>
      </c>
    </row>
    <row r="145" spans="2:13" x14ac:dyDescent="0.15">
      <c r="B145" s="9" t="s">
        <v>264</v>
      </c>
      <c r="C145" s="15">
        <v>1</v>
      </c>
      <c r="D145" s="18">
        <v>8.5235727983802771</v>
      </c>
      <c r="E145" s="18">
        <v>8.5082001518608479</v>
      </c>
      <c r="F145" s="18">
        <v>1.5372646519429267E-2</v>
      </c>
      <c r="G145" s="18">
        <v>4.8940029903053142E-2</v>
      </c>
      <c r="H145" s="18">
        <v>5.8550615795642989E-2</v>
      </c>
      <c r="I145" s="18">
        <v>8.3925033634868402</v>
      </c>
      <c r="J145" s="18">
        <v>8.6238969402348555</v>
      </c>
      <c r="K145" s="18">
        <v>0.31952225249187</v>
      </c>
      <c r="L145" s="18">
        <v>7.8768199703719812</v>
      </c>
      <c r="M145" s="18">
        <v>9.1395803333497145</v>
      </c>
    </row>
    <row r="146" spans="2:13" x14ac:dyDescent="0.15">
      <c r="B146" s="9" t="s">
        <v>265</v>
      </c>
      <c r="C146" s="15">
        <v>1</v>
      </c>
      <c r="D146" s="18">
        <v>8.4084937744928965</v>
      </c>
      <c r="E146" s="18">
        <v>8.5723053882075941</v>
      </c>
      <c r="F146" s="18">
        <v>-0.16381161371469766</v>
      </c>
      <c r="G146" s="18">
        <v>-0.52150716296847077</v>
      </c>
      <c r="H146" s="18">
        <v>6.8471274220695474E-2</v>
      </c>
      <c r="I146" s="18">
        <v>8.4370052480543301</v>
      </c>
      <c r="J146" s="18">
        <v>8.7076055283608582</v>
      </c>
      <c r="K146" s="18">
        <v>0.32148811894195251</v>
      </c>
      <c r="L146" s="18">
        <v>7.9370406287077868</v>
      </c>
      <c r="M146" s="18">
        <v>9.2075701477074006</v>
      </c>
    </row>
    <row r="147" spans="2:13" x14ac:dyDescent="0.15">
      <c r="B147" s="9" t="s">
        <v>266</v>
      </c>
      <c r="C147" s="15">
        <v>1</v>
      </c>
      <c r="D147" s="18">
        <v>8.4387991239882254</v>
      </c>
      <c r="E147" s="18">
        <v>8.5854810816926967</v>
      </c>
      <c r="F147" s="18">
        <v>-0.14668195770447134</v>
      </c>
      <c r="G147" s="18">
        <v>-0.46697355508839999</v>
      </c>
      <c r="H147" s="18">
        <v>6.5485092754423865E-2</v>
      </c>
      <c r="I147" s="18">
        <v>8.4560816754677557</v>
      </c>
      <c r="J147" s="18">
        <v>8.7148804879176378</v>
      </c>
      <c r="K147" s="18">
        <v>0.32086538080709925</v>
      </c>
      <c r="L147" s="18">
        <v>7.9514468609536095</v>
      </c>
      <c r="M147" s="18">
        <v>9.219515302431784</v>
      </c>
    </row>
    <row r="148" spans="2:13" x14ac:dyDescent="0.15">
      <c r="B148" s="9" t="s">
        <v>267</v>
      </c>
      <c r="C148" s="15">
        <v>1</v>
      </c>
      <c r="D148" s="18">
        <v>8.4519077247176071</v>
      </c>
      <c r="E148" s="18">
        <v>8.4435009567814809</v>
      </c>
      <c r="F148" s="18">
        <v>8.4067679361261582E-3</v>
      </c>
      <c r="G148" s="18">
        <v>2.6763607272309635E-2</v>
      </c>
      <c r="H148" s="18">
        <v>6.4245275783170519E-2</v>
      </c>
      <c r="I148" s="18">
        <v>8.3165514452296598</v>
      </c>
      <c r="J148" s="18">
        <v>8.570450468333302</v>
      </c>
      <c r="K148" s="18">
        <v>0.32061464515502869</v>
      </c>
      <c r="L148" s="18">
        <v>7.8099621929950018</v>
      </c>
      <c r="M148" s="18">
        <v>9.07703972056796</v>
      </c>
    </row>
    <row r="149" spans="2:13" x14ac:dyDescent="0.15">
      <c r="B149" s="9" t="s">
        <v>268</v>
      </c>
      <c r="C149" s="15">
        <v>1</v>
      </c>
      <c r="D149" s="18">
        <v>9.9636885552268843</v>
      </c>
      <c r="E149" s="18">
        <v>9.6871517289455191</v>
      </c>
      <c r="F149" s="18">
        <v>0.27653682628136522</v>
      </c>
      <c r="G149" s="18">
        <v>0.88037674777731667</v>
      </c>
      <c r="H149" s="18">
        <v>4.5689380923257215E-2</v>
      </c>
      <c r="I149" s="18">
        <v>9.5968689101607012</v>
      </c>
      <c r="J149" s="18">
        <v>9.777434547730337</v>
      </c>
      <c r="K149" s="18">
        <v>0.31741741407266838</v>
      </c>
      <c r="L149" s="18">
        <v>9.0599307359099015</v>
      </c>
      <c r="M149" s="18">
        <v>10.314372721981137</v>
      </c>
    </row>
    <row r="150" spans="2:13" x14ac:dyDescent="0.15">
      <c r="B150" s="9" t="s">
        <v>269</v>
      </c>
      <c r="C150" s="15">
        <v>1</v>
      </c>
      <c r="D150" s="18">
        <v>8.4625257900739292</v>
      </c>
      <c r="E150" s="18">
        <v>8.6463650680971114</v>
      </c>
      <c r="F150" s="18">
        <v>-0.18383927802318212</v>
      </c>
      <c r="G150" s="18">
        <v>-0.5852668083168977</v>
      </c>
      <c r="H150" s="18">
        <v>5.3528971862479825E-2</v>
      </c>
      <c r="I150" s="18">
        <v>8.5405911143086968</v>
      </c>
      <c r="J150" s="18">
        <v>8.7521390218855259</v>
      </c>
      <c r="K150" s="18">
        <v>0.31864030827264067</v>
      </c>
      <c r="L150" s="18">
        <v>8.016727620007428</v>
      </c>
      <c r="M150" s="18">
        <v>9.2760025161867947</v>
      </c>
    </row>
    <row r="151" spans="2:13" x14ac:dyDescent="0.15">
      <c r="B151" s="9" t="s">
        <v>270</v>
      </c>
      <c r="C151" s="15">
        <v>1</v>
      </c>
      <c r="D151" s="18">
        <v>9.5366179621873268</v>
      </c>
      <c r="E151" s="18">
        <v>9.5449600291500882</v>
      </c>
      <c r="F151" s="18">
        <v>-8.3420669627614075E-3</v>
      </c>
      <c r="G151" s="18">
        <v>-2.6557626632136486E-2</v>
      </c>
      <c r="H151" s="18">
        <v>0.10289591021075997</v>
      </c>
      <c r="I151" s="18">
        <v>9.3416363546433026</v>
      </c>
      <c r="J151" s="18">
        <v>9.7482837036568739</v>
      </c>
      <c r="K151" s="18">
        <v>0.33053572207180587</v>
      </c>
      <c r="L151" s="18">
        <v>8.8918170866391897</v>
      </c>
      <c r="M151" s="18">
        <v>10.198102971660987</v>
      </c>
    </row>
    <row r="152" spans="2:13" x14ac:dyDescent="0.15">
      <c r="B152" s="9" t="s">
        <v>271</v>
      </c>
      <c r="C152" s="15">
        <v>1</v>
      </c>
      <c r="D152" s="18">
        <v>8.6128669414845191</v>
      </c>
      <c r="E152" s="18">
        <v>8.4650961053733926</v>
      </c>
      <c r="F152" s="18">
        <v>0.14777083611112651</v>
      </c>
      <c r="G152" s="18">
        <v>0.47044008518230029</v>
      </c>
      <c r="H152" s="18">
        <v>0.1207919774808614</v>
      </c>
      <c r="I152" s="18">
        <v>8.2264095661120749</v>
      </c>
      <c r="J152" s="18">
        <v>8.7037826446347104</v>
      </c>
      <c r="K152" s="18">
        <v>0.33653676924099429</v>
      </c>
      <c r="L152" s="18">
        <v>7.8000950145762431</v>
      </c>
      <c r="M152" s="18">
        <v>9.1300971961705422</v>
      </c>
    </row>
    <row r="153" spans="2:13" x14ac:dyDescent="0.15">
      <c r="B153" s="9" t="s">
        <v>272</v>
      </c>
      <c r="C153" s="15">
        <v>1</v>
      </c>
      <c r="D153" s="18">
        <v>11.269349588141523</v>
      </c>
      <c r="E153" s="18">
        <v>10.877829919721052</v>
      </c>
      <c r="F153" s="18">
        <v>0.39151966842047159</v>
      </c>
      <c r="G153" s="18">
        <v>1.2464336739880175</v>
      </c>
      <c r="H153" s="18">
        <v>7.904055474583796E-2</v>
      </c>
      <c r="I153" s="18">
        <v>10.721644741971412</v>
      </c>
      <c r="J153" s="18">
        <v>11.034015097470691</v>
      </c>
      <c r="K153" s="18">
        <v>0.32390385073654054</v>
      </c>
      <c r="L153" s="18">
        <v>10.237791642361376</v>
      </c>
      <c r="M153" s="18">
        <v>11.517868197080727</v>
      </c>
    </row>
    <row r="154" spans="2:13" x14ac:dyDescent="0.15">
      <c r="B154" s="9" t="s">
        <v>273</v>
      </c>
      <c r="C154" s="15">
        <v>1</v>
      </c>
      <c r="D154" s="18">
        <v>8.9825610922574448</v>
      </c>
      <c r="E154" s="18">
        <v>9.0860190588252525</v>
      </c>
      <c r="F154" s="18">
        <v>-0.1034579665678077</v>
      </c>
      <c r="G154" s="18">
        <v>-0.32936657791085155</v>
      </c>
      <c r="H154" s="18">
        <v>4.7519122226886534E-2</v>
      </c>
      <c r="I154" s="18">
        <v>8.9921206471127011</v>
      </c>
      <c r="J154" s="18">
        <v>9.1799174705378039</v>
      </c>
      <c r="K154" s="18">
        <v>0.31768594901985059</v>
      </c>
      <c r="L154" s="18">
        <v>8.4582674371953317</v>
      </c>
      <c r="M154" s="18">
        <v>9.7137706804551733</v>
      </c>
    </row>
    <row r="155" spans="2:13" x14ac:dyDescent="0.15">
      <c r="B155" s="9" t="s">
        <v>274</v>
      </c>
      <c r="C155" s="15">
        <v>1</v>
      </c>
      <c r="D155" s="18">
        <v>8.8306891987609983</v>
      </c>
      <c r="E155" s="18">
        <v>8.8103465124655944</v>
      </c>
      <c r="F155" s="18">
        <v>2.0342686295403922E-2</v>
      </c>
      <c r="G155" s="18">
        <v>6.4762542633580264E-2</v>
      </c>
      <c r="H155" s="18">
        <v>4.358301104338292E-2</v>
      </c>
      <c r="I155" s="18">
        <v>8.7242259083204967</v>
      </c>
      <c r="J155" s="18">
        <v>8.8964671166106921</v>
      </c>
      <c r="K155" s="18">
        <v>0.31712107164147413</v>
      </c>
      <c r="L155" s="18">
        <v>8.1837110959791239</v>
      </c>
      <c r="M155" s="18">
        <v>9.4369819289520649</v>
      </c>
    </row>
    <row r="156" spans="2:13" x14ac:dyDescent="0.15">
      <c r="B156" s="9" t="s">
        <v>275</v>
      </c>
      <c r="C156" s="15">
        <v>1</v>
      </c>
      <c r="D156" s="18">
        <v>10.260252492425103</v>
      </c>
      <c r="E156" s="18">
        <v>9.829604496208967</v>
      </c>
      <c r="F156" s="18">
        <v>0.43064799621613581</v>
      </c>
      <c r="G156" s="18">
        <v>1.3710017846224489</v>
      </c>
      <c r="H156" s="18">
        <v>4.8410222682821878E-2</v>
      </c>
      <c r="I156" s="18">
        <v>9.7339452582528434</v>
      </c>
      <c r="J156" s="18">
        <v>9.9252637341650907</v>
      </c>
      <c r="K156" s="18">
        <v>0.31782046014633752</v>
      </c>
      <c r="L156" s="18">
        <v>9.2015870788205625</v>
      </c>
      <c r="M156" s="18">
        <v>10.457621913597372</v>
      </c>
    </row>
    <row r="157" spans="2:13" x14ac:dyDescent="0.15">
      <c r="B157" s="9" t="s">
        <v>276</v>
      </c>
      <c r="C157" s="15">
        <v>1</v>
      </c>
      <c r="D157" s="18">
        <v>8.7800188878691525</v>
      </c>
      <c r="E157" s="18">
        <v>8.7145841320044752</v>
      </c>
      <c r="F157" s="18">
        <v>6.5434755864677285E-2</v>
      </c>
      <c r="G157" s="18">
        <v>0.2083166945046741</v>
      </c>
      <c r="H157" s="18">
        <v>4.5784785347080477E-2</v>
      </c>
      <c r="I157" s="18">
        <v>8.6241127928209735</v>
      </c>
      <c r="J157" s="18">
        <v>8.8050554711879769</v>
      </c>
      <c r="K157" s="18">
        <v>0.31743116072104133</v>
      </c>
      <c r="L157" s="18">
        <v>8.0873359754105234</v>
      </c>
      <c r="M157" s="18">
        <v>9.3418322885984271</v>
      </c>
    </row>
    <row r="158" spans="2:13" x14ac:dyDescent="0.15">
      <c r="B158" s="9" t="s">
        <v>277</v>
      </c>
      <c r="C158" s="15">
        <v>1</v>
      </c>
      <c r="D158" s="18">
        <v>8.5750846698320142</v>
      </c>
      <c r="E158" s="18">
        <v>8.516753016027435</v>
      </c>
      <c r="F158" s="18">
        <v>5.8331653804579275E-2</v>
      </c>
      <c r="G158" s="18">
        <v>0.18570341013712713</v>
      </c>
      <c r="H158" s="18">
        <v>8.2336984591390563E-2</v>
      </c>
      <c r="I158" s="18">
        <v>8.3540540494636559</v>
      </c>
      <c r="J158" s="18">
        <v>8.679451982591214</v>
      </c>
      <c r="K158" s="18">
        <v>0.32472399704831212</v>
      </c>
      <c r="L158" s="18">
        <v>7.8750941187480654</v>
      </c>
      <c r="M158" s="18">
        <v>9.1584119133068054</v>
      </c>
    </row>
    <row r="159" spans="2:13" x14ac:dyDescent="0.15">
      <c r="B159" s="9" t="s">
        <v>278</v>
      </c>
      <c r="C159" s="15">
        <v>1</v>
      </c>
      <c r="D159" s="18">
        <v>8.3723986065130038</v>
      </c>
      <c r="E159" s="18">
        <v>8.4221148918391577</v>
      </c>
      <c r="F159" s="18">
        <v>-4.9716285326153908E-2</v>
      </c>
      <c r="G159" s="18">
        <v>-0.15827570662315779</v>
      </c>
      <c r="H159" s="18">
        <v>6.8679072834400112E-2</v>
      </c>
      <c r="I159" s="18">
        <v>8.2864041388869083</v>
      </c>
      <c r="J159" s="18">
        <v>8.5578256447914072</v>
      </c>
      <c r="K159" s="18">
        <v>0.32153244046724455</v>
      </c>
      <c r="L159" s="18">
        <v>7.786762552421318</v>
      </c>
      <c r="M159" s="18">
        <v>9.0574672312569966</v>
      </c>
    </row>
    <row r="160" spans="2:13" x14ac:dyDescent="0.15">
      <c r="B160" s="9" t="s">
        <v>279</v>
      </c>
      <c r="C160" s="15">
        <v>1</v>
      </c>
      <c r="D160" s="18">
        <v>8.8548076326162271</v>
      </c>
      <c r="E160" s="18">
        <v>8.9992176811696414</v>
      </c>
      <c r="F160" s="18">
        <v>-0.14441004855341433</v>
      </c>
      <c r="G160" s="18">
        <v>-0.45974075352432175</v>
      </c>
      <c r="H160" s="18">
        <v>8.4186911453960359E-2</v>
      </c>
      <c r="I160" s="18">
        <v>8.8328632347476628</v>
      </c>
      <c r="J160" s="18">
        <v>9.16557212759162</v>
      </c>
      <c r="K160" s="18">
        <v>0.3251979878283171</v>
      </c>
      <c r="L160" s="18">
        <v>8.3566221718628793</v>
      </c>
      <c r="M160" s="18">
        <v>9.6418131904764035</v>
      </c>
    </row>
    <row r="161" spans="2:13" x14ac:dyDescent="0.15">
      <c r="B161" s="9" t="s">
        <v>280</v>
      </c>
      <c r="C161" s="15">
        <v>1</v>
      </c>
      <c r="D161" s="18">
        <v>8.5105713151073505</v>
      </c>
      <c r="E161" s="18">
        <v>8.3358666542491378</v>
      </c>
      <c r="F161" s="18">
        <v>0.17470466085821279</v>
      </c>
      <c r="G161" s="18">
        <v>0.55618603574845782</v>
      </c>
      <c r="H161" s="18">
        <v>8.6394785683381436E-2</v>
      </c>
      <c r="I161" s="18">
        <v>8.1651494192551421</v>
      </c>
      <c r="J161" s="18">
        <v>8.5065838892431334</v>
      </c>
      <c r="K161" s="18">
        <v>0.32577654031668202</v>
      </c>
      <c r="L161" s="18">
        <v>7.6921279176013808</v>
      </c>
      <c r="M161" s="18">
        <v>8.9796053908968947</v>
      </c>
    </row>
    <row r="162" spans="2:13" x14ac:dyDescent="0.15">
      <c r="B162" s="9" t="s">
        <v>281</v>
      </c>
      <c r="C162" s="15">
        <v>1</v>
      </c>
      <c r="D162" s="18">
        <v>10.400711085883833</v>
      </c>
      <c r="E162" s="18">
        <v>9.9851382186016266</v>
      </c>
      <c r="F162" s="18">
        <v>0.4155728672822061</v>
      </c>
      <c r="G162" s="18">
        <v>1.3230089253651678</v>
      </c>
      <c r="H162" s="18">
        <v>7.7928002947861535E-2</v>
      </c>
      <c r="I162" s="18">
        <v>9.8311514578656496</v>
      </c>
      <c r="J162" s="18">
        <v>10.139124979337604</v>
      </c>
      <c r="K162" s="18">
        <v>0.32363415899881648</v>
      </c>
      <c r="L162" s="18">
        <v>9.3456328556696082</v>
      </c>
      <c r="M162" s="18">
        <v>10.624643581533645</v>
      </c>
    </row>
    <row r="163" spans="2:13" x14ac:dyDescent="0.15">
      <c r="B163" s="9" t="s">
        <v>282</v>
      </c>
      <c r="C163" s="15">
        <v>1</v>
      </c>
      <c r="D163" s="18">
        <v>8.7879833961978004</v>
      </c>
      <c r="E163" s="18">
        <v>8.8189784739289383</v>
      </c>
      <c r="F163" s="18">
        <v>-3.0995077731137854E-2</v>
      </c>
      <c r="G163" s="18">
        <v>-9.8675269030101931E-2</v>
      </c>
      <c r="H163" s="18">
        <v>4.6070270249761736E-2</v>
      </c>
      <c r="I163" s="18">
        <v>8.7279430128157074</v>
      </c>
      <c r="J163" s="18">
        <v>8.9100139350421692</v>
      </c>
      <c r="K163" s="18">
        <v>0.31747246341740476</v>
      </c>
      <c r="L163" s="18">
        <v>8.1916487026626985</v>
      </c>
      <c r="M163" s="18">
        <v>9.4463082451951781</v>
      </c>
    </row>
    <row r="164" spans="2:13" x14ac:dyDescent="0.15">
      <c r="B164" s="9" t="s">
        <v>283</v>
      </c>
      <c r="C164" s="15">
        <v>1</v>
      </c>
      <c r="D164" s="18">
        <v>9.6774648604710745</v>
      </c>
      <c r="E164" s="18">
        <v>9.2845266023175022</v>
      </c>
      <c r="F164" s="18">
        <v>0.39293825815357231</v>
      </c>
      <c r="G164" s="18">
        <v>1.2509498660353897</v>
      </c>
      <c r="H164" s="18">
        <v>0.12404572944883722</v>
      </c>
      <c r="I164" s="18">
        <v>9.0394106062905326</v>
      </c>
      <c r="J164" s="18">
        <v>9.5296425983444717</v>
      </c>
      <c r="K164" s="18">
        <v>0.33771828233295786</v>
      </c>
      <c r="L164" s="18">
        <v>8.6171908260810195</v>
      </c>
      <c r="M164" s="18">
        <v>9.9518623785539848</v>
      </c>
    </row>
    <row r="165" spans="2:13" x14ac:dyDescent="0.15">
      <c r="B165" s="9" t="s">
        <v>284</v>
      </c>
      <c r="C165" s="15">
        <v>1</v>
      </c>
      <c r="D165" s="18">
        <v>10.799759233696244</v>
      </c>
      <c r="E165" s="18">
        <v>10.169510810268145</v>
      </c>
      <c r="F165" s="18">
        <v>0.63024842342809961</v>
      </c>
      <c r="G165" s="18">
        <v>2.0064454516624401</v>
      </c>
      <c r="H165" s="18">
        <v>6.0207283554466008E-2</v>
      </c>
      <c r="I165" s="18">
        <v>10.050540424571651</v>
      </c>
      <c r="J165" s="18">
        <v>10.288481195964639</v>
      </c>
      <c r="K165" s="18">
        <v>0.31982997392432938</v>
      </c>
      <c r="L165" s="18">
        <v>9.5375225671736814</v>
      </c>
      <c r="M165" s="18">
        <v>10.801499053362608</v>
      </c>
    </row>
    <row r="166" spans="2:13" x14ac:dyDescent="0.15">
      <c r="B166" s="9" t="s">
        <v>285</v>
      </c>
      <c r="C166" s="15">
        <v>1</v>
      </c>
      <c r="D166" s="18">
        <v>10.457832330215615</v>
      </c>
      <c r="E166" s="18">
        <v>10.164869193942778</v>
      </c>
      <c r="F166" s="18">
        <v>0.29296313627283688</v>
      </c>
      <c r="G166" s="18">
        <v>0.93267119825878719</v>
      </c>
      <c r="H166" s="18">
        <v>7.0335527437228429E-2</v>
      </c>
      <c r="I166" s="18">
        <v>10.025885264867094</v>
      </c>
      <c r="J166" s="18">
        <v>10.303853123018461</v>
      </c>
      <c r="K166" s="18">
        <v>0.32189032549503943</v>
      </c>
      <c r="L166" s="18">
        <v>9.5288096689939188</v>
      </c>
      <c r="M166" s="18">
        <v>10.800928718891637</v>
      </c>
    </row>
    <row r="167" spans="2:13" x14ac:dyDescent="0.15">
      <c r="B167" s="9" t="s">
        <v>286</v>
      </c>
      <c r="C167" s="15">
        <v>1</v>
      </c>
      <c r="D167" s="18">
        <v>8.7687298172316659</v>
      </c>
      <c r="E167" s="18">
        <v>8.6953336164239712</v>
      </c>
      <c r="F167" s="18">
        <v>7.3396200807694711E-2</v>
      </c>
      <c r="G167" s="18">
        <v>0.23366258098494488</v>
      </c>
      <c r="H167" s="18">
        <v>5.5100717417383933E-2</v>
      </c>
      <c r="I167" s="18">
        <v>8.5864538727070929</v>
      </c>
      <c r="J167" s="18">
        <v>8.8042133601408494</v>
      </c>
      <c r="K167" s="18">
        <v>0.3189081126082241</v>
      </c>
      <c r="L167" s="18">
        <v>8.0651669834381323</v>
      </c>
      <c r="M167" s="18">
        <v>9.32550024940981</v>
      </c>
    </row>
    <row r="168" spans="2:13" x14ac:dyDescent="0.15">
      <c r="B168" s="9" t="s">
        <v>287</v>
      </c>
      <c r="C168" s="15">
        <v>1</v>
      </c>
      <c r="D168" s="18">
        <v>8.6738550014296152</v>
      </c>
      <c r="E168" s="18">
        <v>8.6831997064162127</v>
      </c>
      <c r="F168" s="18">
        <v>-9.3447049865975629E-3</v>
      </c>
      <c r="G168" s="18">
        <v>-2.9749603680880941E-2</v>
      </c>
      <c r="H168" s="18">
        <v>4.3195768609646329E-2</v>
      </c>
      <c r="I168" s="18">
        <v>8.5978442984231389</v>
      </c>
      <c r="J168" s="18">
        <v>8.7685551144092866</v>
      </c>
      <c r="K168" s="18">
        <v>0.31706808362433364</v>
      </c>
      <c r="L168" s="18">
        <v>8.056668994949872</v>
      </c>
      <c r="M168" s="18">
        <v>9.3097304178825535</v>
      </c>
    </row>
    <row r="169" spans="2:13" x14ac:dyDescent="0.15">
      <c r="B169" s="9" t="s">
        <v>288</v>
      </c>
      <c r="C169" s="15">
        <v>1</v>
      </c>
      <c r="D169" s="18">
        <v>8.7334329664136519</v>
      </c>
      <c r="E169" s="18">
        <v>8.4407438453718413</v>
      </c>
      <c r="F169" s="18">
        <v>0.29268912104181055</v>
      </c>
      <c r="G169" s="18">
        <v>0.93179884920793432</v>
      </c>
      <c r="H169" s="18">
        <v>6.0368737100621662E-2</v>
      </c>
      <c r="I169" s="18">
        <v>8.3214544253405585</v>
      </c>
      <c r="J169" s="18">
        <v>8.5600332654031241</v>
      </c>
      <c r="K169" s="18">
        <v>0.31986040650032521</v>
      </c>
      <c r="L169" s="18">
        <v>7.8086954671061788</v>
      </c>
      <c r="M169" s="18">
        <v>9.0727922236375047</v>
      </c>
    </row>
    <row r="170" spans="2:13" x14ac:dyDescent="0.15">
      <c r="B170" s="9" t="s">
        <v>289</v>
      </c>
      <c r="C170" s="15">
        <v>1</v>
      </c>
      <c r="D170" s="18">
        <v>10.237850423151144</v>
      </c>
      <c r="E170" s="18">
        <v>9.9024896046335655</v>
      </c>
      <c r="F170" s="18">
        <v>0.33536081851757871</v>
      </c>
      <c r="G170" s="18">
        <v>1.0676475560547802</v>
      </c>
      <c r="H170" s="18">
        <v>6.3329278504748163E-2</v>
      </c>
      <c r="I170" s="18">
        <v>9.7773501157746345</v>
      </c>
      <c r="J170" s="18">
        <v>10.027629093492497</v>
      </c>
      <c r="K170" s="18">
        <v>0.32043235283498028</v>
      </c>
      <c r="L170" s="18">
        <v>9.2693110528736931</v>
      </c>
      <c r="M170" s="18">
        <v>10.535668156393438</v>
      </c>
    </row>
    <row r="171" spans="2:13" x14ac:dyDescent="0.15">
      <c r="B171" s="9" t="s">
        <v>290</v>
      </c>
      <c r="C171" s="15">
        <v>1</v>
      </c>
      <c r="D171" s="18">
        <v>8.690305809124883</v>
      </c>
      <c r="E171" s="18">
        <v>8.7953209483051165</v>
      </c>
      <c r="F171" s="18">
        <v>-0.10501513918023342</v>
      </c>
      <c r="G171" s="18">
        <v>-0.33432395945995647</v>
      </c>
      <c r="H171" s="18">
        <v>4.9698424256214541E-2</v>
      </c>
      <c r="I171" s="18">
        <v>8.6971162070644485</v>
      </c>
      <c r="J171" s="18">
        <v>8.8935256895457844</v>
      </c>
      <c r="K171" s="18">
        <v>0.31801922677879091</v>
      </c>
      <c r="L171" s="18">
        <v>8.1669107654316999</v>
      </c>
      <c r="M171" s="18">
        <v>9.423731131178533</v>
      </c>
    </row>
    <row r="172" spans="2:13" x14ac:dyDescent="0.15">
      <c r="B172" s="9" t="s">
        <v>291</v>
      </c>
      <c r="C172" s="15">
        <v>1</v>
      </c>
      <c r="D172" s="18">
        <v>8.7242073608005644</v>
      </c>
      <c r="E172" s="18">
        <v>8.74887775039746</v>
      </c>
      <c r="F172" s="18">
        <v>-2.4670389596895603E-2</v>
      </c>
      <c r="G172" s="18">
        <v>-7.8540126650675585E-2</v>
      </c>
      <c r="H172" s="18">
        <v>4.8388695407882411E-2</v>
      </c>
      <c r="I172" s="18">
        <v>8.653261050620296</v>
      </c>
      <c r="J172" s="18">
        <v>8.8444944501746239</v>
      </c>
      <c r="K172" s="18">
        <v>0.31781718183683233</v>
      </c>
      <c r="L172" s="18">
        <v>8.1208668109918385</v>
      </c>
      <c r="M172" s="18">
        <v>9.3768886898030814</v>
      </c>
    </row>
    <row r="173" spans="2:13" x14ac:dyDescent="0.15">
      <c r="B173" s="9" t="s">
        <v>292</v>
      </c>
      <c r="C173" s="15">
        <v>1</v>
      </c>
      <c r="D173" s="18">
        <v>8.8895839917949733</v>
      </c>
      <c r="E173" s="18">
        <v>8.5686146070763236</v>
      </c>
      <c r="F173" s="18">
        <v>0.32096938471864966</v>
      </c>
      <c r="G173" s="18">
        <v>1.0218312940612957</v>
      </c>
      <c r="H173" s="18">
        <v>8.1725625386312575E-2</v>
      </c>
      <c r="I173" s="18">
        <v>8.4071236943580807</v>
      </c>
      <c r="J173" s="18">
        <v>8.7301055197945665</v>
      </c>
      <c r="K173" s="18">
        <v>0.32456951962902064</v>
      </c>
      <c r="L173" s="18">
        <v>7.9272609592131289</v>
      </c>
      <c r="M173" s="18">
        <v>9.2099682549395183</v>
      </c>
    </row>
    <row r="174" spans="2:13" x14ac:dyDescent="0.15">
      <c r="B174" s="9" t="s">
        <v>293</v>
      </c>
      <c r="C174" s="15">
        <v>1</v>
      </c>
      <c r="D174" s="18">
        <v>8.794067065151415</v>
      </c>
      <c r="E174" s="18">
        <v>8.7703079199387979</v>
      </c>
      <c r="F174" s="18">
        <v>2.3759145212617128E-2</v>
      </c>
      <c r="G174" s="18">
        <v>7.5639108445435962E-2</v>
      </c>
      <c r="H174" s="18">
        <v>5.5150501327456102E-2</v>
      </c>
      <c r="I174" s="18">
        <v>8.66132980255958</v>
      </c>
      <c r="J174" s="18">
        <v>8.8792860373180158</v>
      </c>
      <c r="K174" s="18">
        <v>0.3189167180065966</v>
      </c>
      <c r="L174" s="18">
        <v>8.1401242825723763</v>
      </c>
      <c r="M174" s="18">
        <v>9.4004915573052195</v>
      </c>
    </row>
    <row r="175" spans="2:13" x14ac:dyDescent="0.15">
      <c r="B175" s="9" t="s">
        <v>294</v>
      </c>
      <c r="C175" s="15">
        <v>1</v>
      </c>
      <c r="D175" s="18">
        <v>10.0165929986414</v>
      </c>
      <c r="E175" s="18">
        <v>9.7783951227410633</v>
      </c>
      <c r="F175" s="18">
        <v>0.2381978759003367</v>
      </c>
      <c r="G175" s="18">
        <v>0.75832168226027863</v>
      </c>
      <c r="H175" s="18">
        <v>5.4560374771351859E-2</v>
      </c>
      <c r="I175" s="18">
        <v>9.670583103213211</v>
      </c>
      <c r="J175" s="18">
        <v>9.8862071422689155</v>
      </c>
      <c r="K175" s="18">
        <v>0.31881519681881493</v>
      </c>
      <c r="L175" s="18">
        <v>9.1484120925795125</v>
      </c>
      <c r="M175" s="18">
        <v>10.408378152902614</v>
      </c>
    </row>
    <row r="176" spans="2:13" x14ac:dyDescent="0.15">
      <c r="B176" s="9" t="s">
        <v>295</v>
      </c>
      <c r="C176" s="15">
        <v>1</v>
      </c>
      <c r="D176" s="18">
        <v>8.718663567048953</v>
      </c>
      <c r="E176" s="18">
        <v>8.7789373855099022</v>
      </c>
      <c r="F176" s="18">
        <v>-6.0273818460949258E-2</v>
      </c>
      <c r="G176" s="18">
        <v>-0.19188644415402645</v>
      </c>
      <c r="H176" s="18">
        <v>6.2901471595974812E-2</v>
      </c>
      <c r="I176" s="18">
        <v>8.6546432487402143</v>
      </c>
      <c r="J176" s="18">
        <v>8.9032315222795901</v>
      </c>
      <c r="K176" s="18">
        <v>0.32034807687321704</v>
      </c>
      <c r="L176" s="18">
        <v>8.1459253641610374</v>
      </c>
      <c r="M176" s="18">
        <v>9.411949406858767</v>
      </c>
    </row>
    <row r="177" spans="2:13" x14ac:dyDescent="0.15">
      <c r="B177" s="9" t="s">
        <v>296</v>
      </c>
      <c r="C177" s="15">
        <v>1</v>
      </c>
      <c r="D177" s="18">
        <v>9.1024210297566892</v>
      </c>
      <c r="E177" s="18">
        <v>8.7194415065524566</v>
      </c>
      <c r="F177" s="18">
        <v>0.38297952320423256</v>
      </c>
      <c r="G177" s="18">
        <v>1.2192454496487075</v>
      </c>
      <c r="H177" s="18">
        <v>5.0953859137568613E-2</v>
      </c>
      <c r="I177" s="18">
        <v>8.6187560094425031</v>
      </c>
      <c r="J177" s="18">
        <v>8.8201270036624102</v>
      </c>
      <c r="K177" s="18">
        <v>0.31821783574847046</v>
      </c>
      <c r="L177" s="18">
        <v>8.0906388697377452</v>
      </c>
      <c r="M177" s="18">
        <v>9.3482441433671681</v>
      </c>
    </row>
    <row r="178" spans="2:13" x14ac:dyDescent="0.15">
      <c r="B178" s="9" t="s">
        <v>297</v>
      </c>
      <c r="C178" s="15">
        <v>1</v>
      </c>
      <c r="D178" s="18">
        <v>10.489550510486399</v>
      </c>
      <c r="E178" s="18">
        <v>10.483850724542689</v>
      </c>
      <c r="F178" s="18">
        <v>5.6997859437100118E-3</v>
      </c>
      <c r="G178" s="18">
        <v>1.8145717080895081E-2</v>
      </c>
      <c r="H178" s="18">
        <v>0.11642137251713248</v>
      </c>
      <c r="I178" s="18">
        <v>10.253800558284174</v>
      </c>
      <c r="J178" s="18">
        <v>10.713900890801204</v>
      </c>
      <c r="K178" s="18">
        <v>0.33499288232170282</v>
      </c>
      <c r="L178" s="18">
        <v>9.8219003746429205</v>
      </c>
      <c r="M178" s="18">
        <v>11.145801074442458</v>
      </c>
    </row>
    <row r="179" spans="2:13" x14ac:dyDescent="0.15">
      <c r="B179" s="9" t="s">
        <v>298</v>
      </c>
      <c r="C179" s="15">
        <v>1</v>
      </c>
      <c r="D179" s="18">
        <v>9.462731997649378</v>
      </c>
      <c r="E179" s="18">
        <v>9.9608458951023593</v>
      </c>
      <c r="F179" s="18">
        <v>-0.49811389745298129</v>
      </c>
      <c r="G179" s="18">
        <v>-1.5857847902548603</v>
      </c>
      <c r="H179" s="18">
        <v>7.2754599517628027E-2</v>
      </c>
      <c r="I179" s="18">
        <v>9.8170818477180273</v>
      </c>
      <c r="J179" s="18">
        <v>10.104609942486691</v>
      </c>
      <c r="K179" s="18">
        <v>0.32242755306952253</v>
      </c>
      <c r="L179" s="18">
        <v>9.3237248013869021</v>
      </c>
      <c r="M179" s="18">
        <v>10.597966988817817</v>
      </c>
    </row>
    <row r="180" spans="2:13" x14ac:dyDescent="0.15">
      <c r="B180" s="9" t="s">
        <v>299</v>
      </c>
      <c r="C180" s="15">
        <v>1</v>
      </c>
      <c r="D180" s="18">
        <v>8.9258531904209217</v>
      </c>
      <c r="E180" s="18">
        <v>9.0083076285309556</v>
      </c>
      <c r="F180" s="18">
        <v>-8.2454438110033834E-2</v>
      </c>
      <c r="G180" s="18">
        <v>-0.26250019225019672</v>
      </c>
      <c r="H180" s="18">
        <v>8.0104333644876194E-2</v>
      </c>
      <c r="I180" s="18">
        <v>8.8500204096586685</v>
      </c>
      <c r="J180" s="18">
        <v>9.1665948474032426</v>
      </c>
      <c r="K180" s="18">
        <v>0.32416508062423838</v>
      </c>
      <c r="L180" s="18">
        <v>8.3677531574707835</v>
      </c>
      <c r="M180" s="18">
        <v>9.6488620995911276</v>
      </c>
    </row>
    <row r="181" spans="2:13" x14ac:dyDescent="0.15">
      <c r="B181" s="9" t="s">
        <v>300</v>
      </c>
      <c r="C181" s="15">
        <v>1</v>
      </c>
      <c r="D181" s="18">
        <v>8.765146421639022</v>
      </c>
      <c r="E181" s="18">
        <v>8.909675997751151</v>
      </c>
      <c r="F181" s="18">
        <v>-0.14452957611212902</v>
      </c>
      <c r="G181" s="18">
        <v>-0.46012127891338489</v>
      </c>
      <c r="H181" s="18">
        <v>4.9363912714566957E-2</v>
      </c>
      <c r="I181" s="18">
        <v>8.8121322557248671</v>
      </c>
      <c r="J181" s="18">
        <v>9.007219739777435</v>
      </c>
      <c r="K181" s="18">
        <v>0.31796712268082167</v>
      </c>
      <c r="L181" s="18">
        <v>8.2813687732619332</v>
      </c>
      <c r="M181" s="18">
        <v>9.5379832222403689</v>
      </c>
    </row>
    <row r="182" spans="2:13" x14ac:dyDescent="0.15">
      <c r="B182" s="9" t="s">
        <v>301</v>
      </c>
      <c r="C182" s="15">
        <v>1</v>
      </c>
      <c r="D182" s="18">
        <v>9.8126324341920412</v>
      </c>
      <c r="E182" s="18">
        <v>9.8326713795194323</v>
      </c>
      <c r="F182" s="18">
        <v>-2.0038945327391033E-2</v>
      </c>
      <c r="G182" s="18">
        <v>-6.3795559359844989E-2</v>
      </c>
      <c r="H182" s="18">
        <v>5.7375696264388702E-2</v>
      </c>
      <c r="I182" s="18">
        <v>9.7192962476219087</v>
      </c>
      <c r="J182" s="18">
        <v>9.9460465114169558</v>
      </c>
      <c r="K182" s="18">
        <v>0.31930904426472595</v>
      </c>
      <c r="L182" s="18">
        <v>9.2017125002969937</v>
      </c>
      <c r="M182" s="18">
        <v>10.463630258741871</v>
      </c>
    </row>
    <row r="183" spans="2:13" x14ac:dyDescent="0.15">
      <c r="B183" s="9" t="s">
        <v>302</v>
      </c>
      <c r="C183" s="15">
        <v>1</v>
      </c>
      <c r="D183" s="18">
        <v>9.3392611520430222</v>
      </c>
      <c r="E183" s="18">
        <v>9.2925956297048327</v>
      </c>
      <c r="F183" s="18">
        <v>4.6665522338189547E-2</v>
      </c>
      <c r="G183" s="18">
        <v>0.14856336257950858</v>
      </c>
      <c r="H183" s="18">
        <v>4.7610483012796641E-2</v>
      </c>
      <c r="I183" s="18">
        <v>9.198516687875399</v>
      </c>
      <c r="J183" s="18">
        <v>9.3866745715342663</v>
      </c>
      <c r="K183" s="18">
        <v>0.31769962751023351</v>
      </c>
      <c r="L183" s="18">
        <v>8.6648169791976652</v>
      </c>
      <c r="M183" s="18">
        <v>9.9203742802120001</v>
      </c>
    </row>
    <row r="184" spans="2:13" x14ac:dyDescent="0.15">
      <c r="B184" s="9" t="s">
        <v>303</v>
      </c>
      <c r="C184" s="15">
        <v>1</v>
      </c>
      <c r="D184" s="18">
        <v>10.375239652315981</v>
      </c>
      <c r="E184" s="18">
        <v>11.412560658379011</v>
      </c>
      <c r="F184" s="18">
        <v>-1.0373210060630296</v>
      </c>
      <c r="G184" s="18">
        <v>-3.3023930519463098</v>
      </c>
      <c r="H184" s="18">
        <v>9.8886951443554305E-2</v>
      </c>
      <c r="I184" s="18">
        <v>11.217158739225036</v>
      </c>
      <c r="J184" s="18">
        <v>11.607962577532986</v>
      </c>
      <c r="K184" s="18">
        <v>0.32930976965955505</v>
      </c>
      <c r="L184" s="18">
        <v>10.76184021398994</v>
      </c>
      <c r="M184" s="18">
        <v>12.063281102768082</v>
      </c>
    </row>
    <row r="185" spans="2:13" x14ac:dyDescent="0.15">
      <c r="B185" s="9" t="s">
        <v>304</v>
      </c>
      <c r="C185" s="15">
        <v>1</v>
      </c>
      <c r="D185" s="18">
        <v>8.8819751842488674</v>
      </c>
      <c r="E185" s="18">
        <v>8.6728258775674707</v>
      </c>
      <c r="F185" s="18">
        <v>0.20914930668139675</v>
      </c>
      <c r="G185" s="18">
        <v>0.66584327625393214</v>
      </c>
      <c r="H185" s="18">
        <v>6.1449762715842501E-2</v>
      </c>
      <c r="I185" s="18">
        <v>8.5514003366750924</v>
      </c>
      <c r="J185" s="18">
        <v>8.794251418459849</v>
      </c>
      <c r="K185" s="18">
        <v>0.32006619403689401</v>
      </c>
      <c r="L185" s="18">
        <v>8.0403708604177435</v>
      </c>
      <c r="M185" s="18">
        <v>9.3052808947171979</v>
      </c>
    </row>
    <row r="186" spans="2:13" x14ac:dyDescent="0.15">
      <c r="B186" s="9" t="s">
        <v>305</v>
      </c>
      <c r="C186" s="15">
        <v>1</v>
      </c>
      <c r="D186" s="18">
        <v>8.6052040687389511</v>
      </c>
      <c r="E186" s="18">
        <v>8.6616983248840427</v>
      </c>
      <c r="F186" s="18">
        <v>-5.6494256145091626E-2</v>
      </c>
      <c r="G186" s="18">
        <v>-0.17985391009915555</v>
      </c>
      <c r="H186" s="18">
        <v>6.2361837563585168E-2</v>
      </c>
      <c r="I186" s="18">
        <v>8.5384705120734861</v>
      </c>
      <c r="J186" s="18">
        <v>8.7849261376945993</v>
      </c>
      <c r="K186" s="18">
        <v>0.32024255496691301</v>
      </c>
      <c r="L186" s="18">
        <v>8.0288948162125688</v>
      </c>
      <c r="M186" s="18">
        <v>9.2945018335555165</v>
      </c>
    </row>
    <row r="187" spans="2:13" x14ac:dyDescent="0.15">
      <c r="B187" s="9" t="s">
        <v>306</v>
      </c>
      <c r="C187" s="15">
        <v>1</v>
      </c>
      <c r="D187" s="18">
        <v>9.6466579435671118</v>
      </c>
      <c r="E187" s="18">
        <v>9.6269160106023079</v>
      </c>
      <c r="F187" s="18">
        <v>1.9741932964803866E-2</v>
      </c>
      <c r="G187" s="18">
        <v>6.284999713097171E-2</v>
      </c>
      <c r="H187" s="18">
        <v>6.3405750588038851E-2</v>
      </c>
      <c r="I187" s="18">
        <v>9.5016254118990684</v>
      </c>
      <c r="J187" s="18">
        <v>9.7522066093055475</v>
      </c>
      <c r="K187" s="18">
        <v>0.3204474753139146</v>
      </c>
      <c r="L187" s="18">
        <v>8.9937075766247823</v>
      </c>
      <c r="M187" s="18">
        <v>10.260124444579834</v>
      </c>
    </row>
    <row r="188" spans="2:13" x14ac:dyDescent="0.15">
      <c r="B188" s="9" t="s">
        <v>307</v>
      </c>
      <c r="C188" s="15">
        <v>1</v>
      </c>
      <c r="D188" s="18">
        <v>8.7955822169564257</v>
      </c>
      <c r="E188" s="18">
        <v>8.731188407458399</v>
      </c>
      <c r="F188" s="18">
        <v>6.4393809498026755E-2</v>
      </c>
      <c r="G188" s="18">
        <v>0.20500275983200963</v>
      </c>
      <c r="H188" s="18">
        <v>6.3859217808664021E-2</v>
      </c>
      <c r="I188" s="18">
        <v>8.6050017515515549</v>
      </c>
      <c r="J188" s="18">
        <v>8.8573750633652431</v>
      </c>
      <c r="K188" s="18">
        <v>0.32053750939096615</v>
      </c>
      <c r="L188" s="18">
        <v>8.0978020649581772</v>
      </c>
      <c r="M188" s="18">
        <v>9.3645747499586207</v>
      </c>
    </row>
    <row r="189" spans="2:13" x14ac:dyDescent="0.15">
      <c r="B189" s="9" t="s">
        <v>308</v>
      </c>
      <c r="C189" s="15">
        <v>1</v>
      </c>
      <c r="D189" s="18">
        <v>8.7242073608005644</v>
      </c>
      <c r="E189" s="18">
        <v>8.7703696984910398</v>
      </c>
      <c r="F189" s="18">
        <v>-4.6162337690475397E-2</v>
      </c>
      <c r="G189" s="18">
        <v>-0.14696143465676845</v>
      </c>
      <c r="H189" s="18">
        <v>8.2807997470520867E-2</v>
      </c>
      <c r="I189" s="18">
        <v>8.6067400042712379</v>
      </c>
      <c r="J189" s="18">
        <v>8.9339993927108416</v>
      </c>
      <c r="K189" s="18">
        <v>0.32484374654979448</v>
      </c>
      <c r="L189" s="18">
        <v>8.1284741746187201</v>
      </c>
      <c r="M189" s="18">
        <v>9.4122652223633594</v>
      </c>
    </row>
    <row r="190" spans="2:13" x14ac:dyDescent="0.15">
      <c r="B190" s="9" t="s">
        <v>309</v>
      </c>
      <c r="C190" s="15">
        <v>1</v>
      </c>
      <c r="D190" s="18">
        <v>8.481358738407021</v>
      </c>
      <c r="E190" s="18">
        <v>8.6602351241838562</v>
      </c>
      <c r="F190" s="18">
        <v>-0.17887638577683518</v>
      </c>
      <c r="G190" s="18">
        <v>-0.56946705030939571</v>
      </c>
      <c r="H190" s="18">
        <v>6.1807891456312485E-2</v>
      </c>
      <c r="I190" s="18">
        <v>8.5381019161810006</v>
      </c>
      <c r="J190" s="18">
        <v>8.7823683321867119</v>
      </c>
      <c r="K190" s="18">
        <v>0.32013514439015384</v>
      </c>
      <c r="L190" s="18">
        <v>8.0276438602274816</v>
      </c>
      <c r="M190" s="18">
        <v>9.2928263881402309</v>
      </c>
    </row>
    <row r="191" spans="2:13" x14ac:dyDescent="0.15">
      <c r="B191" s="9" t="s">
        <v>310</v>
      </c>
      <c r="C191" s="15">
        <v>1</v>
      </c>
      <c r="D191" s="18">
        <v>8.6307004322098315</v>
      </c>
      <c r="E191" s="18">
        <v>8.6512184686317504</v>
      </c>
      <c r="F191" s="18">
        <v>-2.051803642191885E-2</v>
      </c>
      <c r="G191" s="18">
        <v>-6.5320783560040035E-2</v>
      </c>
      <c r="H191" s="18">
        <v>6.0417931938058375E-2</v>
      </c>
      <c r="I191" s="18">
        <v>8.5318318389534191</v>
      </c>
      <c r="J191" s="18">
        <v>8.7706050983100816</v>
      </c>
      <c r="K191" s="18">
        <v>0.31986969491826073</v>
      </c>
      <c r="L191" s="18">
        <v>8.0191517363298477</v>
      </c>
      <c r="M191" s="18">
        <v>9.2832852009336531</v>
      </c>
    </row>
    <row r="192" spans="2:13" x14ac:dyDescent="0.15">
      <c r="B192" s="9" t="s">
        <v>311</v>
      </c>
      <c r="C192" s="15">
        <v>1</v>
      </c>
      <c r="D192" s="18">
        <v>10.86032504105607</v>
      </c>
      <c r="E192" s="18">
        <v>10.899400935374533</v>
      </c>
      <c r="F192" s="18">
        <v>-3.9075894318463256E-2</v>
      </c>
      <c r="G192" s="18">
        <v>-0.12440118453365283</v>
      </c>
      <c r="H192" s="18">
        <v>7.9226965755890263E-2</v>
      </c>
      <c r="I192" s="18">
        <v>10.742847407012563</v>
      </c>
      <c r="J192" s="18">
        <v>11.055954463736503</v>
      </c>
      <c r="K192" s="18">
        <v>0.32394939007553997</v>
      </c>
      <c r="L192" s="18">
        <v>10.259272671680892</v>
      </c>
      <c r="M192" s="18">
        <v>11.539529199068175</v>
      </c>
    </row>
    <row r="193" spans="2:13" x14ac:dyDescent="0.15">
      <c r="B193" s="9" t="s">
        <v>312</v>
      </c>
      <c r="C193" s="15">
        <v>1</v>
      </c>
      <c r="D193" s="18">
        <v>8.7503662783676255</v>
      </c>
      <c r="E193" s="18">
        <v>9.0800460240723559</v>
      </c>
      <c r="F193" s="18">
        <v>-0.32967974570473046</v>
      </c>
      <c r="G193" s="18">
        <v>-1.0495614136985623</v>
      </c>
      <c r="H193" s="18">
        <v>6.0729691080481478E-2</v>
      </c>
      <c r="I193" s="18">
        <v>8.9600433542203302</v>
      </c>
      <c r="J193" s="18">
        <v>9.2000486939243817</v>
      </c>
      <c r="K193" s="18">
        <v>0.31992872738495998</v>
      </c>
      <c r="L193" s="18">
        <v>8.4478626428383432</v>
      </c>
      <c r="M193" s="18">
        <v>9.7122294053063687</v>
      </c>
    </row>
    <row r="194" spans="2:13" x14ac:dyDescent="0.15">
      <c r="B194" s="9" t="s">
        <v>313</v>
      </c>
      <c r="C194" s="15">
        <v>1</v>
      </c>
      <c r="D194" s="18">
        <v>8.6704291673150955</v>
      </c>
      <c r="E194" s="18">
        <v>8.6941262677901801</v>
      </c>
      <c r="F194" s="18">
        <v>-2.3697100475084554E-2</v>
      </c>
      <c r="G194" s="18">
        <v>-7.5441584141059781E-2</v>
      </c>
      <c r="H194" s="18">
        <v>4.9319209409678648E-2</v>
      </c>
      <c r="I194" s="18">
        <v>8.5966708600834423</v>
      </c>
      <c r="J194" s="18">
        <v>8.7915816754969178</v>
      </c>
      <c r="K194" s="18">
        <v>0.31796018562742262</v>
      </c>
      <c r="L194" s="18">
        <v>8.0658327510098928</v>
      </c>
      <c r="M194" s="18">
        <v>9.3224197845704673</v>
      </c>
    </row>
    <row r="195" spans="2:13" x14ac:dyDescent="0.15">
      <c r="B195" s="9" t="s">
        <v>314</v>
      </c>
      <c r="C195" s="15">
        <v>1</v>
      </c>
      <c r="D195" s="18">
        <v>9.7583461668664579</v>
      </c>
      <c r="E195" s="18">
        <v>9.8766228243803393</v>
      </c>
      <c r="F195" s="18">
        <v>-0.11827665751388139</v>
      </c>
      <c r="G195" s="18">
        <v>-0.37654304665410571</v>
      </c>
      <c r="H195" s="18">
        <v>5.3727579455853505E-2</v>
      </c>
      <c r="I195" s="18">
        <v>9.7704564193702303</v>
      </c>
      <c r="J195" s="18">
        <v>9.9827892293904483</v>
      </c>
      <c r="K195" s="18">
        <v>0.31867373287049305</v>
      </c>
      <c r="L195" s="18">
        <v>9.2469193288448412</v>
      </c>
      <c r="M195" s="18">
        <v>10.506326319915837</v>
      </c>
    </row>
    <row r="196" spans="2:13" x14ac:dyDescent="0.15">
      <c r="B196" s="9" t="s">
        <v>315</v>
      </c>
      <c r="C196" s="15">
        <v>1</v>
      </c>
      <c r="D196" s="18">
        <v>8.7097950576177485</v>
      </c>
      <c r="E196" s="18">
        <v>8.6191967962203968</v>
      </c>
      <c r="F196" s="18">
        <v>9.059826139735172E-2</v>
      </c>
      <c r="G196" s="18">
        <v>0.28842669454131392</v>
      </c>
      <c r="H196" s="18">
        <v>6.723925739275731E-2</v>
      </c>
      <c r="I196" s="18">
        <v>8.4863311375542736</v>
      </c>
      <c r="J196" s="18">
        <v>8.75206245488652</v>
      </c>
      <c r="K196" s="18">
        <v>0.32122797661810032</v>
      </c>
      <c r="L196" s="18">
        <v>7.9844460813805966</v>
      </c>
      <c r="M196" s="18">
        <v>9.253947511060197</v>
      </c>
    </row>
    <row r="197" spans="2:13" x14ac:dyDescent="0.15">
      <c r="B197" s="9" t="s">
        <v>316</v>
      </c>
      <c r="C197" s="15">
        <v>1</v>
      </c>
      <c r="D197" s="18">
        <v>10.846205976245562</v>
      </c>
      <c r="E197" s="18">
        <v>10.90997892555303</v>
      </c>
      <c r="F197" s="18">
        <v>-6.3772949307468352E-2</v>
      </c>
      <c r="G197" s="18">
        <v>-0.20302620255846923</v>
      </c>
      <c r="H197" s="18">
        <v>7.9097031732427603E-2</v>
      </c>
      <c r="I197" s="18">
        <v>10.753682148533654</v>
      </c>
      <c r="J197" s="18">
        <v>11.066275702572407</v>
      </c>
      <c r="K197" s="18">
        <v>0.32391763714918331</v>
      </c>
      <c r="L197" s="18">
        <v>10.269913406060299</v>
      </c>
      <c r="M197" s="18">
        <v>11.550044445045762</v>
      </c>
    </row>
    <row r="198" spans="2:13" x14ac:dyDescent="0.15">
      <c r="B198" s="9" t="s">
        <v>317</v>
      </c>
      <c r="C198" s="15">
        <v>1</v>
      </c>
      <c r="D198" s="18">
        <v>8.6693991243055688</v>
      </c>
      <c r="E198" s="18">
        <v>9.1527224656303048</v>
      </c>
      <c r="F198" s="18">
        <v>-0.48332334132473598</v>
      </c>
      <c r="G198" s="18">
        <v>-1.5386978909181557</v>
      </c>
      <c r="H198" s="18">
        <v>4.9820003128044528E-2</v>
      </c>
      <c r="I198" s="18">
        <v>9.0542774829367723</v>
      </c>
      <c r="J198" s="18">
        <v>9.2511674483238373</v>
      </c>
      <c r="K198" s="18">
        <v>0.31803824917627077</v>
      </c>
      <c r="L198" s="18">
        <v>8.5242746942487955</v>
      </c>
      <c r="M198" s="18">
        <v>9.7811702370118141</v>
      </c>
    </row>
    <row r="199" spans="2:13" x14ac:dyDescent="0.15">
      <c r="B199" s="9" t="s">
        <v>318</v>
      </c>
      <c r="C199" s="15">
        <v>1</v>
      </c>
      <c r="D199" s="18">
        <v>8.6399416566752905</v>
      </c>
      <c r="E199" s="18">
        <v>8.7339055397709338</v>
      </c>
      <c r="F199" s="18">
        <v>-9.3963883095643297E-2</v>
      </c>
      <c r="G199" s="18">
        <v>-0.29914141606623645</v>
      </c>
      <c r="H199" s="18">
        <v>5.6576863852765967E-2</v>
      </c>
      <c r="I199" s="18">
        <v>8.622108911245542</v>
      </c>
      <c r="J199" s="18">
        <v>8.8457021682963255</v>
      </c>
      <c r="K199" s="18">
        <v>0.319166471846345</v>
      </c>
      <c r="L199" s="18">
        <v>8.1032283855259912</v>
      </c>
      <c r="M199" s="18">
        <v>9.3645826940158763</v>
      </c>
    </row>
    <row r="200" spans="2:13" x14ac:dyDescent="0.15">
      <c r="B200" s="9" t="s">
        <v>319</v>
      </c>
      <c r="C200" s="15">
        <v>1</v>
      </c>
      <c r="D200" s="18">
        <v>8.5063344480813612</v>
      </c>
      <c r="E200" s="18">
        <v>8.6662805760465638</v>
      </c>
      <c r="F200" s="18">
        <v>-0.15994612796520258</v>
      </c>
      <c r="G200" s="18">
        <v>-0.50920108490110494</v>
      </c>
      <c r="H200" s="18">
        <v>6.1430745895071547E-2</v>
      </c>
      <c r="I200" s="18">
        <v>8.5448926126426272</v>
      </c>
      <c r="J200" s="18">
        <v>8.7876685394505003</v>
      </c>
      <c r="K200" s="18">
        <v>0.32006254352650232</v>
      </c>
      <c r="L200" s="18">
        <v>8.0338327723534757</v>
      </c>
      <c r="M200" s="18">
        <v>9.2987283797396518</v>
      </c>
    </row>
    <row r="201" spans="2:13" x14ac:dyDescent="0.15">
      <c r="B201" s="9" t="s">
        <v>320</v>
      </c>
      <c r="C201" s="15">
        <v>1</v>
      </c>
      <c r="D201" s="18">
        <v>8.4992328660392449</v>
      </c>
      <c r="E201" s="18">
        <v>8.7228148279703817</v>
      </c>
      <c r="F201" s="18">
        <v>-0.22358196193113677</v>
      </c>
      <c r="G201" s="18">
        <v>-0.71179076997988278</v>
      </c>
      <c r="H201" s="18">
        <v>6.0958724199361818E-2</v>
      </c>
      <c r="I201" s="18">
        <v>8.6023595856573216</v>
      </c>
      <c r="J201" s="18">
        <v>8.8432700702834417</v>
      </c>
      <c r="K201" s="18">
        <v>0.3199722820549355</v>
      </c>
      <c r="L201" s="18">
        <v>8.0905453821345468</v>
      </c>
      <c r="M201" s="18">
        <v>9.3550842738062165</v>
      </c>
    </row>
    <row r="202" spans="2:13" x14ac:dyDescent="0.15">
      <c r="B202" s="9" t="s">
        <v>321</v>
      </c>
      <c r="C202" s="15">
        <v>1</v>
      </c>
      <c r="D202" s="18">
        <v>9.6306940925780982</v>
      </c>
      <c r="E202" s="18">
        <v>9.7960730149894957</v>
      </c>
      <c r="F202" s="18">
        <v>-0.16537892241139751</v>
      </c>
      <c r="G202" s="18">
        <v>-0.52649681353949385</v>
      </c>
      <c r="H202" s="18">
        <v>5.6281437768689636E-2</v>
      </c>
      <c r="I202" s="18">
        <v>9.6848601522992706</v>
      </c>
      <c r="J202" s="18">
        <v>9.9072858776797208</v>
      </c>
      <c r="K202" s="18">
        <v>0.31911423576008047</v>
      </c>
      <c r="L202" s="18">
        <v>9.1654990799393623</v>
      </c>
      <c r="M202" s="18">
        <v>10.426646950039629</v>
      </c>
    </row>
    <row r="203" spans="2:13" x14ac:dyDescent="0.15">
      <c r="B203" s="9" t="s">
        <v>322</v>
      </c>
      <c r="C203" s="15">
        <v>1</v>
      </c>
      <c r="D203" s="18">
        <v>9.1405614773682657</v>
      </c>
      <c r="E203" s="18">
        <v>9.503288874857617</v>
      </c>
      <c r="F203" s="18">
        <v>-0.36272739748935123</v>
      </c>
      <c r="G203" s="18">
        <v>-1.1547712137496386</v>
      </c>
      <c r="H203" s="18">
        <v>5.6881818711639213E-2</v>
      </c>
      <c r="I203" s="18">
        <v>9.3908896515124898</v>
      </c>
      <c r="J203" s="18">
        <v>9.6156880982027442</v>
      </c>
      <c r="K203" s="18">
        <v>0.31922067058286357</v>
      </c>
      <c r="L203" s="18">
        <v>8.8725046231951001</v>
      </c>
      <c r="M203" s="18">
        <v>10.134073126520134</v>
      </c>
    </row>
    <row r="204" spans="2:13" x14ac:dyDescent="0.15">
      <c r="B204" s="9" t="s">
        <v>323</v>
      </c>
      <c r="C204" s="15">
        <v>1</v>
      </c>
      <c r="D204" s="18">
        <v>9.2229604033322854</v>
      </c>
      <c r="E204" s="18">
        <v>9.4347605685930347</v>
      </c>
      <c r="F204" s="18">
        <v>-0.2118001652607493</v>
      </c>
      <c r="G204" s="18">
        <v>-0.67428249314337985</v>
      </c>
      <c r="H204" s="18">
        <v>6.7964051650385188E-2</v>
      </c>
      <c r="I204" s="18">
        <v>9.3004627069227244</v>
      </c>
      <c r="J204" s="18">
        <v>9.569058430263345</v>
      </c>
      <c r="K204" s="18">
        <v>0.32138047162851319</v>
      </c>
      <c r="L204" s="18">
        <v>8.7997085216031259</v>
      </c>
      <c r="M204" s="18">
        <v>10.069812615582943</v>
      </c>
    </row>
    <row r="205" spans="2:13" x14ac:dyDescent="0.15">
      <c r="B205" s="9" t="s">
        <v>324</v>
      </c>
      <c r="C205" s="15">
        <v>1</v>
      </c>
      <c r="D205" s="18">
        <v>9.1762663916424305</v>
      </c>
      <c r="E205" s="18">
        <v>9.4391138620467157</v>
      </c>
      <c r="F205" s="18">
        <v>-0.26284747040428513</v>
      </c>
      <c r="G205" s="18">
        <v>-0.8367956060961439</v>
      </c>
      <c r="H205" s="18">
        <v>6.3451951445837984E-2</v>
      </c>
      <c r="I205" s="18">
        <v>9.3137319698396457</v>
      </c>
      <c r="J205" s="18">
        <v>9.5644957542537856</v>
      </c>
      <c r="K205" s="18">
        <v>0.32045662010592685</v>
      </c>
      <c r="L205" s="18">
        <v>8.8058873578396657</v>
      </c>
      <c r="M205" s="18">
        <v>10.072340366253766</v>
      </c>
    </row>
    <row r="206" spans="2:13" x14ac:dyDescent="0.15">
      <c r="B206" s="9" t="s">
        <v>325</v>
      </c>
      <c r="C206" s="15">
        <v>1</v>
      </c>
      <c r="D206" s="18">
        <v>9.0028240765476717</v>
      </c>
      <c r="E206" s="18">
        <v>9.3516283162873908</v>
      </c>
      <c r="F206" s="18">
        <v>-0.34880423973971908</v>
      </c>
      <c r="G206" s="18">
        <v>-1.1104457454087961</v>
      </c>
      <c r="H206" s="18">
        <v>5.7215828039333692E-2</v>
      </c>
      <c r="I206" s="18">
        <v>9.2385690861092691</v>
      </c>
      <c r="J206" s="18">
        <v>9.4646875464655125</v>
      </c>
      <c r="K206" s="18">
        <v>0.31928035674882338</v>
      </c>
      <c r="L206" s="18">
        <v>8.7207261239744103</v>
      </c>
      <c r="M206" s="18">
        <v>9.9825305086003713</v>
      </c>
    </row>
    <row r="207" spans="2:13" x14ac:dyDescent="0.15">
      <c r="B207" s="9" t="s">
        <v>326</v>
      </c>
      <c r="C207" s="15">
        <v>1</v>
      </c>
      <c r="D207" s="18">
        <v>8.5718707527069338</v>
      </c>
      <c r="E207" s="18">
        <v>8.71153974990116</v>
      </c>
      <c r="F207" s="18">
        <v>-0.13966899719422621</v>
      </c>
      <c r="G207" s="18">
        <v>-0.44464724343825285</v>
      </c>
      <c r="H207" s="18">
        <v>5.3606630930762462E-2</v>
      </c>
      <c r="I207" s="18">
        <v>8.6056123407704526</v>
      </c>
      <c r="J207" s="18">
        <v>8.8174671590318674</v>
      </c>
      <c r="K207" s="18">
        <v>0.31865336355854823</v>
      </c>
      <c r="L207" s="18">
        <v>8.0818765043944847</v>
      </c>
      <c r="M207" s="18">
        <v>9.3412029954078353</v>
      </c>
    </row>
    <row r="208" spans="2:13" x14ac:dyDescent="0.15">
      <c r="B208" s="9" t="s">
        <v>327</v>
      </c>
      <c r="C208" s="15">
        <v>1</v>
      </c>
      <c r="D208" s="18">
        <v>10.108141214536493</v>
      </c>
      <c r="E208" s="18">
        <v>9.9171564238877163</v>
      </c>
      <c r="F208" s="18">
        <v>0.19098479064877694</v>
      </c>
      <c r="G208" s="18">
        <v>0.60801511005708742</v>
      </c>
      <c r="H208" s="18">
        <v>5.2407569884454192E-2</v>
      </c>
      <c r="I208" s="18">
        <v>9.8135983751853679</v>
      </c>
      <c r="J208" s="18">
        <v>10.020714472590065</v>
      </c>
      <c r="K208" s="18">
        <v>0.31845384062470228</v>
      </c>
      <c r="L208" s="18">
        <v>9.2878874383275729</v>
      </c>
      <c r="M208" s="18">
        <v>10.54642540944786</v>
      </c>
    </row>
    <row r="209" spans="2:13" x14ac:dyDescent="0.15">
      <c r="B209" s="9" t="s">
        <v>328</v>
      </c>
      <c r="C209" s="15">
        <v>1</v>
      </c>
      <c r="D209" s="18">
        <v>8.6452345412971212</v>
      </c>
      <c r="E209" s="18">
        <v>9.1209846306865447</v>
      </c>
      <c r="F209" s="18">
        <v>-0.47575008938942354</v>
      </c>
      <c r="G209" s="18">
        <v>-1.5145878474257026</v>
      </c>
      <c r="H209" s="18">
        <v>5.2088125624529885E-2</v>
      </c>
      <c r="I209" s="18">
        <v>9.0180578080513438</v>
      </c>
      <c r="J209" s="18">
        <v>9.2239114533217457</v>
      </c>
      <c r="K209" s="18">
        <v>0.31840142596807908</v>
      </c>
      <c r="L209" s="18">
        <v>8.4918192171785929</v>
      </c>
      <c r="M209" s="18">
        <v>9.7501500441944966</v>
      </c>
    </row>
    <row r="210" spans="2:13" x14ac:dyDescent="0.15">
      <c r="B210" s="9" t="s">
        <v>329</v>
      </c>
      <c r="C210" s="15">
        <v>1</v>
      </c>
      <c r="D210" s="18">
        <v>8.668196064952765</v>
      </c>
      <c r="E210" s="18">
        <v>8.7484905905759422</v>
      </c>
      <c r="F210" s="18">
        <v>-8.0294525623177293E-2</v>
      </c>
      <c r="G210" s="18">
        <v>-0.25562394087987239</v>
      </c>
      <c r="H210" s="18">
        <v>5.5772241436395288E-2</v>
      </c>
      <c r="I210" s="18">
        <v>8.638283906548363</v>
      </c>
      <c r="J210" s="18">
        <v>8.8586972746035215</v>
      </c>
      <c r="K210" s="18">
        <v>0.31902482370854607</v>
      </c>
      <c r="L210" s="18">
        <v>8.1180933349178854</v>
      </c>
      <c r="M210" s="18">
        <v>9.3788878462339991</v>
      </c>
    </row>
    <row r="211" spans="2:13" x14ac:dyDescent="0.15">
      <c r="B211" s="9" t="s">
        <v>330</v>
      </c>
      <c r="C211" s="15">
        <v>1</v>
      </c>
      <c r="D211" s="18">
        <v>8.5861593958809603</v>
      </c>
      <c r="E211" s="18">
        <v>8.5414938857023373</v>
      </c>
      <c r="F211" s="18">
        <v>4.466551017862308E-2</v>
      </c>
      <c r="G211" s="18">
        <v>0.14219616648403191</v>
      </c>
      <c r="H211" s="18">
        <v>0.10814096280398021</v>
      </c>
      <c r="I211" s="18">
        <v>8.3278059181536754</v>
      </c>
      <c r="J211" s="18">
        <v>8.7551818532509991</v>
      </c>
      <c r="K211" s="18">
        <v>0.33220590461880889</v>
      </c>
      <c r="L211" s="18">
        <v>7.8850506404694132</v>
      </c>
      <c r="M211" s="18">
        <v>9.1979371309352604</v>
      </c>
    </row>
    <row r="212" spans="2:13" x14ac:dyDescent="0.15">
      <c r="B212" s="9" t="s">
        <v>331</v>
      </c>
      <c r="C212" s="15">
        <v>1</v>
      </c>
      <c r="D212" s="18">
        <v>9.8410800924075108</v>
      </c>
      <c r="E212" s="18">
        <v>9.7204518825978035</v>
      </c>
      <c r="F212" s="18">
        <v>0.12062820980970734</v>
      </c>
      <c r="G212" s="18">
        <v>0.38402939843685574</v>
      </c>
      <c r="H212" s="18">
        <v>6.197182087738027E-2</v>
      </c>
      <c r="I212" s="18">
        <v>9.5979947478987064</v>
      </c>
      <c r="J212" s="18">
        <v>9.8429090172969005</v>
      </c>
      <c r="K212" s="18">
        <v>0.32016683433842336</v>
      </c>
      <c r="L212" s="18">
        <v>9.0877979988860478</v>
      </c>
      <c r="M212" s="18">
        <v>10.353105766309559</v>
      </c>
    </row>
    <row r="213" spans="2:13" x14ac:dyDescent="0.15">
      <c r="B213" s="9" t="s">
        <v>332</v>
      </c>
      <c r="C213" s="15">
        <v>1</v>
      </c>
      <c r="D213" s="18">
        <v>8.4694724552048264</v>
      </c>
      <c r="E213" s="18">
        <v>8.5192578282869267</v>
      </c>
      <c r="F213" s="18">
        <v>-4.9785373082100293E-2</v>
      </c>
      <c r="G213" s="18">
        <v>-0.15849565293088544</v>
      </c>
      <c r="H213" s="18">
        <v>9.4614486793210648E-2</v>
      </c>
      <c r="I213" s="18">
        <v>8.3322983555832426</v>
      </c>
      <c r="J213" s="18">
        <v>8.7062173009906108</v>
      </c>
      <c r="K213" s="18">
        <v>0.32805212442319581</v>
      </c>
      <c r="L213" s="18">
        <v>7.8710225074577584</v>
      </c>
      <c r="M213" s="18">
        <v>9.167493149116094</v>
      </c>
    </row>
    <row r="214" spans="2:13" x14ac:dyDescent="0.15">
      <c r="B214" s="9" t="s">
        <v>333</v>
      </c>
      <c r="C214" s="15">
        <v>1</v>
      </c>
      <c r="D214" s="18">
        <v>8.5527533668147875</v>
      </c>
      <c r="E214" s="18">
        <v>8.5854642596499176</v>
      </c>
      <c r="F214" s="18">
        <v>-3.2710892835130068E-2</v>
      </c>
      <c r="G214" s="18">
        <v>-0.10413770143504653</v>
      </c>
      <c r="H214" s="18">
        <v>8.539780696004684E-2</v>
      </c>
      <c r="I214" s="18">
        <v>8.4167170677511081</v>
      </c>
      <c r="J214" s="18">
        <v>8.754211451548727</v>
      </c>
      <c r="K214" s="18">
        <v>0.32551356448082891</v>
      </c>
      <c r="L214" s="18">
        <v>7.9422451667192204</v>
      </c>
      <c r="M214" s="18">
        <v>9.2286833525806138</v>
      </c>
    </row>
    <row r="215" spans="2:13" x14ac:dyDescent="0.15">
      <c r="B215" s="9" t="s">
        <v>334</v>
      </c>
      <c r="C215" s="15">
        <v>1</v>
      </c>
      <c r="D215" s="18">
        <v>10.655328079435291</v>
      </c>
      <c r="E215" s="18">
        <v>8.8921023399512826</v>
      </c>
      <c r="F215" s="18">
        <v>1.7632257394840085</v>
      </c>
      <c r="G215" s="18">
        <v>5.6133678938832512</v>
      </c>
      <c r="H215" s="18">
        <v>5.6720443480752343E-2</v>
      </c>
      <c r="I215" s="18">
        <v>8.7800219961889407</v>
      </c>
      <c r="J215" s="18">
        <v>9.0041826837136245</v>
      </c>
      <c r="K215" s="18">
        <v>0.31919195468570716</v>
      </c>
      <c r="L215" s="18">
        <v>8.2613748312799551</v>
      </c>
      <c r="M215" s="18">
        <v>9.5228298486226102</v>
      </c>
    </row>
    <row r="216" spans="2:13" x14ac:dyDescent="0.15">
      <c r="B216" s="9" t="s">
        <v>335</v>
      </c>
      <c r="C216" s="15">
        <v>1</v>
      </c>
      <c r="D216" s="18">
        <v>8.8028231597418873</v>
      </c>
      <c r="E216" s="18">
        <v>8.500430689741826</v>
      </c>
      <c r="F216" s="18">
        <v>0.30239247000006131</v>
      </c>
      <c r="G216" s="18">
        <v>0.96269022419508143</v>
      </c>
      <c r="H216" s="18">
        <v>8.547040800020346E-2</v>
      </c>
      <c r="I216" s="18">
        <v>8.3315400372309529</v>
      </c>
      <c r="J216" s="18">
        <v>8.6693213422526991</v>
      </c>
      <c r="K216" s="18">
        <v>0.32553261875140954</v>
      </c>
      <c r="L216" s="18">
        <v>7.8571739453213709</v>
      </c>
      <c r="M216" s="18">
        <v>9.1436874341622811</v>
      </c>
    </row>
    <row r="217" spans="2:13" x14ac:dyDescent="0.15">
      <c r="B217" s="9" t="s">
        <v>336</v>
      </c>
      <c r="C217" s="15">
        <v>1</v>
      </c>
      <c r="D217" s="18">
        <v>8.5673158008194488</v>
      </c>
      <c r="E217" s="18">
        <v>8.6646316935863528</v>
      </c>
      <c r="F217" s="18">
        <v>-9.7315892766904E-2</v>
      </c>
      <c r="G217" s="18">
        <v>-0.30981280263194494</v>
      </c>
      <c r="H217" s="18">
        <v>5.8423454531823148E-2</v>
      </c>
      <c r="I217" s="18">
        <v>8.5491861775453444</v>
      </c>
      <c r="J217" s="18">
        <v>8.7800772096273612</v>
      </c>
      <c r="K217" s="18">
        <v>0.31949897537685679</v>
      </c>
      <c r="L217" s="18">
        <v>8.033297507983491</v>
      </c>
      <c r="M217" s="18">
        <v>9.2959658791892146</v>
      </c>
    </row>
    <row r="218" spans="2:13" x14ac:dyDescent="0.15">
      <c r="B218" s="9" t="s">
        <v>337</v>
      </c>
      <c r="C218" s="15">
        <v>1</v>
      </c>
      <c r="D218" s="18">
        <v>9.6776528834104276</v>
      </c>
      <c r="E218" s="18">
        <v>9.7316229553320373</v>
      </c>
      <c r="F218" s="18">
        <v>-5.397007192160963E-2</v>
      </c>
      <c r="G218" s="18">
        <v>-0.17181797098991425</v>
      </c>
      <c r="H218" s="18">
        <v>5.1395639872639523E-2</v>
      </c>
      <c r="I218" s="18">
        <v>9.630064493667934</v>
      </c>
      <c r="J218" s="18">
        <v>9.8331814169961405</v>
      </c>
      <c r="K218" s="18">
        <v>0.31828887354940227</v>
      </c>
      <c r="L218" s="18">
        <v>9.1026799468865711</v>
      </c>
      <c r="M218" s="18">
        <v>10.360565963777503</v>
      </c>
    </row>
    <row r="219" spans="2:13" x14ac:dyDescent="0.15">
      <c r="B219" s="9" t="s">
        <v>338</v>
      </c>
      <c r="C219" s="15">
        <v>1</v>
      </c>
      <c r="D219" s="18">
        <v>8.8837788614634849</v>
      </c>
      <c r="E219" s="18">
        <v>9.0076533904298728</v>
      </c>
      <c r="F219" s="18">
        <v>-0.12387452896638784</v>
      </c>
      <c r="G219" s="18">
        <v>-0.39436431093237162</v>
      </c>
      <c r="H219" s="18">
        <v>5.2211549529551801E-2</v>
      </c>
      <c r="I219" s="18">
        <v>8.9044826805319062</v>
      </c>
      <c r="J219" s="18">
        <v>9.1108241003278394</v>
      </c>
      <c r="K219" s="18">
        <v>0.31842164048900035</v>
      </c>
      <c r="L219" s="18">
        <v>8.3784480327621988</v>
      </c>
      <c r="M219" s="18">
        <v>9.6368587480975467</v>
      </c>
    </row>
    <row r="220" spans="2:13" x14ac:dyDescent="0.15">
      <c r="B220" s="9" t="s">
        <v>339</v>
      </c>
      <c r="C220" s="15">
        <v>1</v>
      </c>
      <c r="D220" s="18">
        <v>8.6588663497323832</v>
      </c>
      <c r="E220" s="18">
        <v>8.7961601952154762</v>
      </c>
      <c r="F220" s="18">
        <v>-0.13729384548309298</v>
      </c>
      <c r="G220" s="18">
        <v>-0.43708576105978053</v>
      </c>
      <c r="H220" s="18">
        <v>5.0002439154218141E-2</v>
      </c>
      <c r="I220" s="18">
        <v>8.697354716530139</v>
      </c>
      <c r="J220" s="18">
        <v>8.8949656739008134</v>
      </c>
      <c r="K220" s="18">
        <v>0.31806687842150527</v>
      </c>
      <c r="L220" s="18">
        <v>8.1676558520681173</v>
      </c>
      <c r="M220" s="18">
        <v>9.4246645383628351</v>
      </c>
    </row>
    <row r="221" spans="2:13" x14ac:dyDescent="0.15">
      <c r="B221" s="9" t="s">
        <v>340</v>
      </c>
      <c r="C221" s="15">
        <v>1</v>
      </c>
      <c r="D221" s="18">
        <v>8.7352035906186991</v>
      </c>
      <c r="E221" s="18">
        <v>8.6955015892564695</v>
      </c>
      <c r="F221" s="18">
        <v>3.9702001362229566E-2</v>
      </c>
      <c r="G221" s="18">
        <v>0.12639444557726739</v>
      </c>
      <c r="H221" s="18">
        <v>5.6242507767642093E-2</v>
      </c>
      <c r="I221" s="18">
        <v>8.5843656527613224</v>
      </c>
      <c r="J221" s="18">
        <v>8.8066375257516167</v>
      </c>
      <c r="K221" s="18">
        <v>0.31910737206686812</v>
      </c>
      <c r="L221" s="18">
        <v>8.0649412169545709</v>
      </c>
      <c r="M221" s="18">
        <v>9.3260619615583682</v>
      </c>
    </row>
    <row r="222" spans="2:13" x14ac:dyDescent="0.15">
      <c r="B222" s="9" t="s">
        <v>341</v>
      </c>
      <c r="C222" s="15">
        <v>1</v>
      </c>
      <c r="D222" s="18">
        <v>8.7314977940632428</v>
      </c>
      <c r="E222" s="18">
        <v>8.7033113642471331</v>
      </c>
      <c r="F222" s="18">
        <v>2.8186429816109637E-2</v>
      </c>
      <c r="G222" s="18">
        <v>8.9733717373729621E-2</v>
      </c>
      <c r="H222" s="18">
        <v>5.3999377932836885E-2</v>
      </c>
      <c r="I222" s="18">
        <v>8.5966078818648288</v>
      </c>
      <c r="J222" s="18">
        <v>8.8100148466294375</v>
      </c>
      <c r="K222" s="18">
        <v>0.31871966999945689</v>
      </c>
      <c r="L222" s="18">
        <v>8.073517096339458</v>
      </c>
      <c r="M222" s="18">
        <v>9.3331056321548083</v>
      </c>
    </row>
    <row r="223" spans="2:13" x14ac:dyDescent="0.15">
      <c r="B223" s="9" t="s">
        <v>342</v>
      </c>
      <c r="C223" s="15">
        <v>1</v>
      </c>
      <c r="D223" s="18">
        <v>10.03884852046658</v>
      </c>
      <c r="E223" s="18">
        <v>9.8454655319824997</v>
      </c>
      <c r="F223" s="18">
        <v>0.19338298848408009</v>
      </c>
      <c r="G223" s="18">
        <v>0.61564996158540641</v>
      </c>
      <c r="H223" s="18">
        <v>5.6531344395783549E-2</v>
      </c>
      <c r="I223" s="18">
        <v>9.7337588505039463</v>
      </c>
      <c r="J223" s="18">
        <v>9.9571722134610532</v>
      </c>
      <c r="K223" s="18">
        <v>0.31915840600965539</v>
      </c>
      <c r="L223" s="18">
        <v>9.214804315937144</v>
      </c>
      <c r="M223" s="18">
        <v>10.476126748027855</v>
      </c>
    </row>
    <row r="224" spans="2:13" x14ac:dyDescent="0.15">
      <c r="B224" s="9" t="s">
        <v>343</v>
      </c>
      <c r="C224" s="15">
        <v>1</v>
      </c>
      <c r="D224" s="18">
        <v>8.920789888464375</v>
      </c>
      <c r="E224" s="18">
        <v>8.9357961367928773</v>
      </c>
      <c r="F224" s="18">
        <v>-1.5006248328502281E-2</v>
      </c>
      <c r="G224" s="18">
        <v>-4.7773572429531723E-2</v>
      </c>
      <c r="H224" s="18">
        <v>5.028692442490057E-2</v>
      </c>
      <c r="I224" s="18">
        <v>8.8364285114638133</v>
      </c>
      <c r="J224" s="18">
        <v>9.0351637621219414</v>
      </c>
      <c r="K224" s="18">
        <v>0.31811172564925205</v>
      </c>
      <c r="L224" s="18">
        <v>8.307203174932507</v>
      </c>
      <c r="M224" s="18">
        <v>9.5643890986532476</v>
      </c>
    </row>
    <row r="225" spans="2:13" x14ac:dyDescent="0.15">
      <c r="B225" s="9" t="s">
        <v>344</v>
      </c>
      <c r="C225" s="15">
        <v>1</v>
      </c>
      <c r="D225" s="18">
        <v>8.7390559228307243</v>
      </c>
      <c r="E225" s="18">
        <v>8.9151552609559612</v>
      </c>
      <c r="F225" s="18">
        <v>-0.17609933812523693</v>
      </c>
      <c r="G225" s="18">
        <v>-0.56062610057834916</v>
      </c>
      <c r="H225" s="18">
        <v>5.0281503365168803E-2</v>
      </c>
      <c r="I225" s="18">
        <v>8.8157983477123647</v>
      </c>
      <c r="J225" s="18">
        <v>9.0145121741995577</v>
      </c>
      <c r="K225" s="18">
        <v>0.31811086873618577</v>
      </c>
      <c r="L225" s="18">
        <v>8.2865639923671033</v>
      </c>
      <c r="M225" s="18">
        <v>9.5437465295448192</v>
      </c>
    </row>
    <row r="226" spans="2:13" x14ac:dyDescent="0.15">
      <c r="B226" s="9" t="s">
        <v>345</v>
      </c>
      <c r="C226" s="15">
        <v>1</v>
      </c>
      <c r="D226" s="18">
        <v>10.237492462093485</v>
      </c>
      <c r="E226" s="18">
        <v>10.230969212978309</v>
      </c>
      <c r="F226" s="18">
        <v>6.5232491151760996E-3</v>
      </c>
      <c r="G226" s="18">
        <v>2.0767276887443571E-2</v>
      </c>
      <c r="H226" s="18">
        <v>6.061273647682678E-2</v>
      </c>
      <c r="I226" s="18">
        <v>10.111197646964296</v>
      </c>
      <c r="J226" s="18">
        <v>10.350740778992321</v>
      </c>
      <c r="K226" s="18">
        <v>0.31990654737069474</v>
      </c>
      <c r="L226" s="18">
        <v>9.5988296597447658</v>
      </c>
      <c r="M226" s="18">
        <v>10.863108766211852</v>
      </c>
    </row>
    <row r="227" spans="2:13" x14ac:dyDescent="0.15">
      <c r="B227" s="9" t="s">
        <v>346</v>
      </c>
      <c r="C227" s="15">
        <v>1</v>
      </c>
      <c r="D227" s="18">
        <v>8.9308909844508779</v>
      </c>
      <c r="E227" s="18">
        <v>8.7478809841198846</v>
      </c>
      <c r="F227" s="18">
        <v>0.18301000033099335</v>
      </c>
      <c r="G227" s="18">
        <v>0.58262673752607064</v>
      </c>
      <c r="H227" s="18">
        <v>5.6816861325679292E-2</v>
      </c>
      <c r="I227" s="18">
        <v>8.6356101174254025</v>
      </c>
      <c r="J227" s="18">
        <v>8.8601518508143666</v>
      </c>
      <c r="K227" s="18">
        <v>0.3192091022485587</v>
      </c>
      <c r="L227" s="18">
        <v>8.1171195916383976</v>
      </c>
      <c r="M227" s="18">
        <v>9.3786423766013716</v>
      </c>
    </row>
    <row r="228" spans="2:13" x14ac:dyDescent="0.15">
      <c r="B228" s="9" t="s">
        <v>347</v>
      </c>
      <c r="C228" s="15">
        <v>1</v>
      </c>
      <c r="D228" s="18">
        <v>8.7913339933013503</v>
      </c>
      <c r="E228" s="18">
        <v>8.6662004508338022</v>
      </c>
      <c r="F228" s="18">
        <v>0.12513354246754815</v>
      </c>
      <c r="G228" s="18">
        <v>0.3983724794879458</v>
      </c>
      <c r="H228" s="18">
        <v>6.3206447261949239E-2</v>
      </c>
      <c r="I228" s="18">
        <v>8.5413036781292746</v>
      </c>
      <c r="J228" s="18">
        <v>8.7910972235383298</v>
      </c>
      <c r="K228" s="18">
        <v>0.32040809946520843</v>
      </c>
      <c r="L228" s="18">
        <v>8.0330698240522018</v>
      </c>
      <c r="M228" s="18">
        <v>9.2993310776154026</v>
      </c>
    </row>
    <row r="229" spans="2:13" x14ac:dyDescent="0.15">
      <c r="B229" s="9" t="s">
        <v>348</v>
      </c>
      <c r="C229" s="15">
        <v>1</v>
      </c>
      <c r="D229" s="18">
        <v>10.601473009736322</v>
      </c>
      <c r="E229" s="18">
        <v>8.8688469342309482</v>
      </c>
      <c r="F229" s="18">
        <v>1.7326260755053742</v>
      </c>
      <c r="G229" s="18">
        <v>5.5159514556502502</v>
      </c>
      <c r="H229" s="18">
        <v>5.299329291359433E-2</v>
      </c>
      <c r="I229" s="18">
        <v>8.7641314891045425</v>
      </c>
      <c r="J229" s="18">
        <v>8.9735623793573538</v>
      </c>
      <c r="K229" s="18">
        <v>0.31855075627167384</v>
      </c>
      <c r="L229" s="18">
        <v>8.2393864420752649</v>
      </c>
      <c r="M229" s="18">
        <v>9.4983074263866314</v>
      </c>
    </row>
    <row r="230" spans="2:13" x14ac:dyDescent="0.15">
      <c r="B230" s="9" t="s">
        <v>349</v>
      </c>
      <c r="C230" s="15">
        <v>1</v>
      </c>
      <c r="D230" s="18">
        <v>8.6649233034405722</v>
      </c>
      <c r="E230" s="18">
        <v>8.1238935355614519</v>
      </c>
      <c r="F230" s="18">
        <v>0.54102976787912027</v>
      </c>
      <c r="G230" s="18">
        <v>1.7224108409037355</v>
      </c>
      <c r="H230" s="18">
        <v>0.11617723271996229</v>
      </c>
      <c r="I230" s="18">
        <v>7.8943257927593429</v>
      </c>
      <c r="J230" s="18">
        <v>8.3534612783635609</v>
      </c>
      <c r="K230" s="18">
        <v>0.33490811371165319</v>
      </c>
      <c r="L230" s="18">
        <v>7.4621106895521958</v>
      </c>
      <c r="M230" s="18">
        <v>8.785676381570708</v>
      </c>
    </row>
    <row r="231" spans="2:13" x14ac:dyDescent="0.15">
      <c r="B231" s="9" t="s">
        <v>350</v>
      </c>
      <c r="C231" s="15">
        <v>1</v>
      </c>
      <c r="D231" s="18">
        <v>8.7031747090416793</v>
      </c>
      <c r="E231" s="18">
        <v>8.5768999843850153</v>
      </c>
      <c r="F231" s="18">
        <v>0.12627472465666401</v>
      </c>
      <c r="G231" s="18">
        <v>0.40200552278921298</v>
      </c>
      <c r="H231" s="18">
        <v>5.3477332348503923E-2</v>
      </c>
      <c r="I231" s="18">
        <v>8.4712280709567072</v>
      </c>
      <c r="J231" s="18">
        <v>8.6825718978133235</v>
      </c>
      <c r="K231" s="18">
        <v>0.31863163732206767</v>
      </c>
      <c r="L231" s="18">
        <v>7.9472796702079274</v>
      </c>
      <c r="M231" s="18">
        <v>9.2065202985621024</v>
      </c>
    </row>
    <row r="232" spans="2:13" x14ac:dyDescent="0.15">
      <c r="B232" s="9" t="s">
        <v>351</v>
      </c>
      <c r="C232" s="15">
        <v>1</v>
      </c>
      <c r="D232" s="18">
        <v>10.076095417142444</v>
      </c>
      <c r="E232" s="18">
        <v>9.8373108862663656</v>
      </c>
      <c r="F232" s="18">
        <v>0.23878453087607809</v>
      </c>
      <c r="G232" s="18">
        <v>0.76018934454076315</v>
      </c>
      <c r="H232" s="18">
        <v>5.3497403074000527E-2</v>
      </c>
      <c r="I232" s="18">
        <v>9.7315993128199914</v>
      </c>
      <c r="J232" s="18">
        <v>9.9430224597127399</v>
      </c>
      <c r="K232" s="18">
        <v>0.31863500649346643</v>
      </c>
      <c r="L232" s="18">
        <v>9.207683914562196</v>
      </c>
      <c r="M232" s="18">
        <v>10.466937857970535</v>
      </c>
    </row>
    <row r="233" spans="2:13" x14ac:dyDescent="0.15">
      <c r="B233" s="9" t="s">
        <v>352</v>
      </c>
      <c r="C233" s="15">
        <v>1</v>
      </c>
      <c r="D233" s="18">
        <v>8.8982289856012269</v>
      </c>
      <c r="E233" s="18">
        <v>8.7116431868739568</v>
      </c>
      <c r="F233" s="18">
        <v>0.1865857987272701</v>
      </c>
      <c r="G233" s="18">
        <v>0.59401057310831051</v>
      </c>
      <c r="H233" s="18">
        <v>5.3247230600082171E-2</v>
      </c>
      <c r="I233" s="18">
        <v>8.6064259575327391</v>
      </c>
      <c r="J233" s="18">
        <v>8.8168604162151745</v>
      </c>
      <c r="K233" s="18">
        <v>0.3185930990997885</v>
      </c>
      <c r="L233" s="18">
        <v>8.0820990247319369</v>
      </c>
      <c r="M233" s="18">
        <v>9.3411873490159767</v>
      </c>
    </row>
    <row r="234" spans="2:13" x14ac:dyDescent="0.15">
      <c r="B234" s="9" t="s">
        <v>353</v>
      </c>
      <c r="C234" s="15">
        <v>1</v>
      </c>
      <c r="D234" s="18">
        <v>10.418464547424595</v>
      </c>
      <c r="E234" s="18">
        <v>10.274334403672817</v>
      </c>
      <c r="F234" s="18">
        <v>0.14413014375177724</v>
      </c>
      <c r="G234" s="18">
        <v>0.45884965456196586</v>
      </c>
      <c r="H234" s="18">
        <v>6.7649302942899558E-2</v>
      </c>
      <c r="I234" s="18">
        <v>10.140658489596159</v>
      </c>
      <c r="J234" s="18">
        <v>10.408010317749476</v>
      </c>
      <c r="K234" s="18">
        <v>0.32131405729611262</v>
      </c>
      <c r="L234" s="18">
        <v>9.6394135922789204</v>
      </c>
      <c r="M234" s="18">
        <v>10.909255215066715</v>
      </c>
    </row>
    <row r="235" spans="2:13" x14ac:dyDescent="0.15">
      <c r="B235" s="9" t="s">
        <v>354</v>
      </c>
      <c r="C235" s="15">
        <v>1</v>
      </c>
      <c r="D235" s="18">
        <v>8.8062742847817255</v>
      </c>
      <c r="E235" s="18">
        <v>8.8238408360710459</v>
      </c>
      <c r="F235" s="18">
        <v>-1.7566551289320387E-2</v>
      </c>
      <c r="G235" s="18">
        <v>-5.5924498381347963E-2</v>
      </c>
      <c r="H235" s="18">
        <v>8.6778299227419489E-2</v>
      </c>
      <c r="I235" s="18">
        <v>8.6523657732602093</v>
      </c>
      <c r="J235" s="18">
        <v>8.9953158988818824</v>
      </c>
      <c r="K235" s="18">
        <v>0.32587845655126219</v>
      </c>
      <c r="L235" s="18">
        <v>8.1799007116007392</v>
      </c>
      <c r="M235" s="18">
        <v>9.4677809605413525</v>
      </c>
    </row>
    <row r="236" spans="2:13" x14ac:dyDescent="0.15">
      <c r="B236" s="9" t="s">
        <v>355</v>
      </c>
      <c r="C236" s="15">
        <v>1</v>
      </c>
      <c r="D236" s="18">
        <v>8.7314977940632428</v>
      </c>
      <c r="E236" s="18">
        <v>8.7624638788374511</v>
      </c>
      <c r="F236" s="18">
        <v>-3.0966084774208369E-2</v>
      </c>
      <c r="G236" s="18">
        <v>-9.8582967670195323E-2</v>
      </c>
      <c r="H236" s="18">
        <v>4.962105469528575E-2</v>
      </c>
      <c r="I236" s="18">
        <v>8.6644120208687312</v>
      </c>
      <c r="J236" s="18">
        <v>8.8605157368061711</v>
      </c>
      <c r="K236" s="18">
        <v>0.31800714504001615</v>
      </c>
      <c r="L236" s="18">
        <v>8.1340775696390626</v>
      </c>
      <c r="M236" s="18">
        <v>9.3908501880358397</v>
      </c>
    </row>
    <row r="237" spans="2:13" x14ac:dyDescent="0.15">
      <c r="B237" s="9" t="s">
        <v>356</v>
      </c>
      <c r="C237" s="15">
        <v>1</v>
      </c>
      <c r="D237" s="18">
        <v>8.8569457561590212</v>
      </c>
      <c r="E237" s="18">
        <v>8.9050014505203414</v>
      </c>
      <c r="F237" s="18">
        <v>-4.8055694361320178E-2</v>
      </c>
      <c r="G237" s="18">
        <v>-0.1529890846109371</v>
      </c>
      <c r="H237" s="18">
        <v>5.7573321034744177E-2</v>
      </c>
      <c r="I237" s="18">
        <v>8.7912358094723562</v>
      </c>
      <c r="J237" s="18">
        <v>9.0187670915683267</v>
      </c>
      <c r="K237" s="18">
        <v>0.31934461404946074</v>
      </c>
      <c r="L237" s="18">
        <v>8.2739722849345387</v>
      </c>
      <c r="M237" s="18">
        <v>9.5360306161061441</v>
      </c>
    </row>
    <row r="238" spans="2:13" x14ac:dyDescent="0.15">
      <c r="B238" s="9" t="s">
        <v>357</v>
      </c>
      <c r="C238" s="15">
        <v>1</v>
      </c>
      <c r="D238" s="18">
        <v>8.8386968123435299</v>
      </c>
      <c r="E238" s="18">
        <v>8.9514573680809573</v>
      </c>
      <c r="F238" s="18">
        <v>-0.11276055573742738</v>
      </c>
      <c r="G238" s="18">
        <v>-0.35898210257419416</v>
      </c>
      <c r="H238" s="18">
        <v>8.0471038951523299E-2</v>
      </c>
      <c r="I238" s="18">
        <v>8.7924455346904065</v>
      </c>
      <c r="J238" s="18">
        <v>9.1104692014715081</v>
      </c>
      <c r="K238" s="18">
        <v>0.32425589175428549</v>
      </c>
      <c r="L238" s="18">
        <v>8.3107234530311302</v>
      </c>
      <c r="M238" s="18">
        <v>9.5921912831307843</v>
      </c>
    </row>
    <row r="239" spans="2:13" x14ac:dyDescent="0.15">
      <c r="B239" s="9" t="s">
        <v>358</v>
      </c>
      <c r="C239" s="15">
        <v>1</v>
      </c>
      <c r="D239" s="18">
        <v>9.9602458863547376</v>
      </c>
      <c r="E239" s="18">
        <v>10.200368710939884</v>
      </c>
      <c r="F239" s="18">
        <v>-0.24012282458514633</v>
      </c>
      <c r="G239" s="18">
        <v>-0.76444990787695166</v>
      </c>
      <c r="H239" s="18">
        <v>6.079761671584679E-2</v>
      </c>
      <c r="I239" s="18">
        <v>10.080231819137275</v>
      </c>
      <c r="J239" s="18">
        <v>10.320505602742493</v>
      </c>
      <c r="K239" s="18">
        <v>0.31994162815388111</v>
      </c>
      <c r="L239" s="18">
        <v>9.5681598376164807</v>
      </c>
      <c r="M239" s="18">
        <v>10.832577584263287</v>
      </c>
    </row>
    <row r="240" spans="2:13" x14ac:dyDescent="0.15">
      <c r="B240" s="9" t="s">
        <v>359</v>
      </c>
      <c r="C240" s="15">
        <v>1</v>
      </c>
      <c r="D240" s="18">
        <v>8.920789888464375</v>
      </c>
      <c r="E240" s="18">
        <v>9.0383176219369172</v>
      </c>
      <c r="F240" s="18">
        <v>-0.1175277334725422</v>
      </c>
      <c r="G240" s="18">
        <v>-0.37415878803396951</v>
      </c>
      <c r="H240" s="18">
        <v>5.5851317821793464E-2</v>
      </c>
      <c r="I240" s="18">
        <v>8.9279546819297462</v>
      </c>
      <c r="J240" s="18">
        <v>9.1486805619440883</v>
      </c>
      <c r="K240" s="18">
        <v>0.31903865742235737</v>
      </c>
      <c r="L240" s="18">
        <v>8.407893030678073</v>
      </c>
      <c r="M240" s="18">
        <v>9.6687422131957614</v>
      </c>
    </row>
    <row r="241" spans="2:13" x14ac:dyDescent="0.15">
      <c r="B241" s="9" t="s">
        <v>360</v>
      </c>
      <c r="C241" s="15">
        <v>1</v>
      </c>
      <c r="D241" s="18">
        <v>8.5451973878258354</v>
      </c>
      <c r="E241" s="18">
        <v>8.6735929299860182</v>
      </c>
      <c r="F241" s="18">
        <v>-0.12839554216018279</v>
      </c>
      <c r="G241" s="18">
        <v>-0.40875731220360856</v>
      </c>
      <c r="H241" s="18">
        <v>5.4512438359474363E-2</v>
      </c>
      <c r="I241" s="18">
        <v>8.5658756334397275</v>
      </c>
      <c r="J241" s="18">
        <v>8.7813102265323089</v>
      </c>
      <c r="K241" s="18">
        <v>0.31880699672893759</v>
      </c>
      <c r="L241" s="18">
        <v>8.0436261033101246</v>
      </c>
      <c r="M241" s="18">
        <v>9.3035597566619117</v>
      </c>
    </row>
    <row r="242" spans="2:13" x14ac:dyDescent="0.15">
      <c r="B242" s="9" t="s">
        <v>361</v>
      </c>
      <c r="C242" s="15">
        <v>1</v>
      </c>
      <c r="D242" s="18">
        <v>8.6934966758846297</v>
      </c>
      <c r="E242" s="18">
        <v>8.7475894042076447</v>
      </c>
      <c r="F242" s="18">
        <v>-5.4092728323015038E-2</v>
      </c>
      <c r="G242" s="18">
        <v>-0.17220845729589901</v>
      </c>
      <c r="H242" s="18">
        <v>4.9234183727439922E-2</v>
      </c>
      <c r="I242" s="18">
        <v>8.6503020083694526</v>
      </c>
      <c r="J242" s="18">
        <v>8.8448768000458369</v>
      </c>
      <c r="K242" s="18">
        <v>0.31794700828084016</v>
      </c>
      <c r="L242" s="18">
        <v>8.119321926037852</v>
      </c>
      <c r="M242" s="18">
        <v>9.3758568823774375</v>
      </c>
    </row>
    <row r="243" spans="2:13" x14ac:dyDescent="0.15">
      <c r="B243" s="9" t="s">
        <v>362</v>
      </c>
      <c r="C243" s="15">
        <v>1</v>
      </c>
      <c r="D243" s="18">
        <v>8.5782882907760492</v>
      </c>
      <c r="E243" s="18">
        <v>8.6752028648218271</v>
      </c>
      <c r="F243" s="18">
        <v>-9.6914574045777968E-2</v>
      </c>
      <c r="G243" s="18">
        <v>-0.30853517290255905</v>
      </c>
      <c r="H243" s="18">
        <v>6.0757778275614349E-2</v>
      </c>
      <c r="I243" s="18">
        <v>8.5551446943020952</v>
      </c>
      <c r="J243" s="18">
        <v>8.795261035341559</v>
      </c>
      <c r="K243" s="18">
        <v>0.31993406015680487</v>
      </c>
      <c r="L243" s="18">
        <v>8.0430089459603753</v>
      </c>
      <c r="M243" s="18">
        <v>9.3073967836832789</v>
      </c>
    </row>
    <row r="244" spans="2:13" x14ac:dyDescent="0.15">
      <c r="B244" s="9" t="s">
        <v>363</v>
      </c>
      <c r="C244" s="15">
        <v>1</v>
      </c>
      <c r="D244" s="18">
        <v>10.509332404693277</v>
      </c>
      <c r="E244" s="18">
        <v>10.48693552777873</v>
      </c>
      <c r="F244" s="18">
        <v>2.2396876914546837E-2</v>
      </c>
      <c r="G244" s="18">
        <v>7.1302220118544507E-2</v>
      </c>
      <c r="H244" s="18">
        <v>6.7795082389223771E-2</v>
      </c>
      <c r="I244" s="18">
        <v>10.3529715515951</v>
      </c>
      <c r="J244" s="18">
        <v>10.620899503962359</v>
      </c>
      <c r="K244" s="18">
        <v>0.32134478122974236</v>
      </c>
      <c r="L244" s="18">
        <v>9.8519540054871104</v>
      </c>
      <c r="M244" s="18">
        <v>11.121917050070349</v>
      </c>
    </row>
    <row r="245" spans="2:13" x14ac:dyDescent="0.15">
      <c r="B245" s="9" t="s">
        <v>364</v>
      </c>
      <c r="C245" s="15">
        <v>1</v>
      </c>
      <c r="D245" s="18">
        <v>8.7155521259078164</v>
      </c>
      <c r="E245" s="18">
        <v>8.686238613039194</v>
      </c>
      <c r="F245" s="18">
        <v>2.9313512868622382E-2</v>
      </c>
      <c r="G245" s="18">
        <v>9.3321874964127791E-2</v>
      </c>
      <c r="H245" s="18">
        <v>7.1092261089399034E-2</v>
      </c>
      <c r="I245" s="18">
        <v>8.5457593682948207</v>
      </c>
      <c r="J245" s="18">
        <v>8.8267178577835672</v>
      </c>
      <c r="K245" s="18">
        <v>0.32205652425348041</v>
      </c>
      <c r="L245" s="18">
        <v>8.0498506771535396</v>
      </c>
      <c r="M245" s="18">
        <v>9.3226265489248483</v>
      </c>
    </row>
    <row r="246" spans="2:13" x14ac:dyDescent="0.15">
      <c r="B246" s="9" t="s">
        <v>365</v>
      </c>
      <c r="C246" s="15">
        <v>1</v>
      </c>
      <c r="D246" s="18">
        <v>8.6135936857025523</v>
      </c>
      <c r="E246" s="18">
        <v>8.6596285792385554</v>
      </c>
      <c r="F246" s="18">
        <v>-4.6034893536003096E-2</v>
      </c>
      <c r="G246" s="18">
        <v>-0.14655570616213606</v>
      </c>
      <c r="H246" s="18">
        <v>7.6184245573294479E-2</v>
      </c>
      <c r="I246" s="18">
        <v>8.509087506053417</v>
      </c>
      <c r="J246" s="18">
        <v>8.8101696524236939</v>
      </c>
      <c r="K246" s="18">
        <v>0.32321871001073155</v>
      </c>
      <c r="L246" s="18">
        <v>8.0209441489816502</v>
      </c>
      <c r="M246" s="18">
        <v>9.2983130094954607</v>
      </c>
    </row>
    <row r="247" spans="2:13" x14ac:dyDescent="0.15">
      <c r="B247" s="9" t="s">
        <v>366</v>
      </c>
      <c r="C247" s="15">
        <v>1</v>
      </c>
      <c r="D247" s="18">
        <v>8.4896164236460034</v>
      </c>
      <c r="E247" s="18">
        <v>8.678543944314054</v>
      </c>
      <c r="F247" s="18">
        <v>-0.18892752066805052</v>
      </c>
      <c r="G247" s="18">
        <v>-0.60146562918220015</v>
      </c>
      <c r="H247" s="18">
        <v>5.9757840323756542E-2</v>
      </c>
      <c r="I247" s="18">
        <v>8.5604616643640643</v>
      </c>
      <c r="J247" s="18">
        <v>8.7966262242640436</v>
      </c>
      <c r="K247" s="18">
        <v>0.31974567191377101</v>
      </c>
      <c r="L247" s="18">
        <v>8.0467222831033585</v>
      </c>
      <c r="M247" s="18">
        <v>9.3103656055247495</v>
      </c>
    </row>
    <row r="248" spans="2:13" x14ac:dyDescent="0.15">
      <c r="B248" s="9" t="s">
        <v>367</v>
      </c>
      <c r="C248" s="15">
        <v>1</v>
      </c>
      <c r="D248" s="18">
        <v>10.857305256301004</v>
      </c>
      <c r="E248" s="18">
        <v>10.676534584956137</v>
      </c>
      <c r="F248" s="18">
        <v>0.18077067134486668</v>
      </c>
      <c r="G248" s="18">
        <v>0.57549765748085535</v>
      </c>
      <c r="H248" s="18">
        <v>9.001317542305283E-2</v>
      </c>
      <c r="I248" s="18">
        <v>10.498667364154537</v>
      </c>
      <c r="J248" s="18">
        <v>10.854401805757737</v>
      </c>
      <c r="K248" s="18">
        <v>0.3267547505043662</v>
      </c>
      <c r="L248" s="18">
        <v>10.030862892086967</v>
      </c>
      <c r="M248" s="18">
        <v>11.322206277825307</v>
      </c>
    </row>
    <row r="249" spans="2:13" x14ac:dyDescent="0.15">
      <c r="B249" s="9" t="s">
        <v>368</v>
      </c>
      <c r="C249" s="15">
        <v>1</v>
      </c>
      <c r="D249" s="18">
        <v>8.7942186836794889</v>
      </c>
      <c r="E249" s="18">
        <v>8.9288348778458086</v>
      </c>
      <c r="F249" s="18">
        <v>-0.13461619416631976</v>
      </c>
      <c r="G249" s="18">
        <v>-0.42856124738237267</v>
      </c>
      <c r="H249" s="18">
        <v>7.6367079941463467E-2</v>
      </c>
      <c r="I249" s="18">
        <v>8.7779325215398334</v>
      </c>
      <c r="J249" s="18">
        <v>9.0797372341517839</v>
      </c>
      <c r="K249" s="18">
        <v>0.32326185380619099</v>
      </c>
      <c r="L249" s="18">
        <v>8.2900651948805404</v>
      </c>
      <c r="M249" s="18">
        <v>9.5676045608110769</v>
      </c>
    </row>
    <row r="250" spans="2:13" x14ac:dyDescent="0.15">
      <c r="B250" s="9" t="s">
        <v>369</v>
      </c>
      <c r="C250" s="15">
        <v>1</v>
      </c>
      <c r="D250" s="18">
        <v>8.574329382787047</v>
      </c>
      <c r="E250" s="18">
        <v>8.6198593889887434</v>
      </c>
      <c r="F250" s="18">
        <v>-4.5530006201696338E-2</v>
      </c>
      <c r="G250" s="18">
        <v>-0.14494835760264008</v>
      </c>
      <c r="H250" s="18">
        <v>7.5352020598909886E-2</v>
      </c>
      <c r="I250" s="18">
        <v>8.4709628033197895</v>
      </c>
      <c r="J250" s="18">
        <v>8.7687559746576973</v>
      </c>
      <c r="K250" s="18">
        <v>0.32302356297299406</v>
      </c>
      <c r="L250" s="18">
        <v>7.981560571849994</v>
      </c>
      <c r="M250" s="18">
        <v>9.2581582061274936</v>
      </c>
    </row>
    <row r="251" spans="2:13" x14ac:dyDescent="0.15">
      <c r="B251" s="9" t="s">
        <v>370</v>
      </c>
      <c r="C251" s="15">
        <v>1</v>
      </c>
      <c r="D251" s="18">
        <v>8.4220030044124883</v>
      </c>
      <c r="E251" s="18">
        <v>8.4189102335064376</v>
      </c>
      <c r="F251" s="18">
        <v>3.0927709060506459E-3</v>
      </c>
      <c r="G251" s="18">
        <v>9.8460795565753264E-3</v>
      </c>
      <c r="H251" s="18">
        <v>9.9611109813409468E-2</v>
      </c>
      <c r="I251" s="18">
        <v>8.2220773678708952</v>
      </c>
      <c r="J251" s="18">
        <v>8.6157430991419801</v>
      </c>
      <c r="K251" s="18">
        <v>0.32952794786738265</v>
      </c>
      <c r="L251" s="18">
        <v>7.7677586661036138</v>
      </c>
      <c r="M251" s="18">
        <v>9.0700618009092615</v>
      </c>
    </row>
    <row r="252" spans="2:13" x14ac:dyDescent="0.15">
      <c r="B252" s="9" t="s">
        <v>371</v>
      </c>
      <c r="C252" s="15">
        <v>1</v>
      </c>
      <c r="D252" s="18">
        <v>8.5814816812985999</v>
      </c>
      <c r="E252" s="18">
        <v>8.485462735603658</v>
      </c>
      <c r="F252" s="18">
        <v>9.6018945694941849E-2</v>
      </c>
      <c r="G252" s="18">
        <v>0.3056838695686443</v>
      </c>
      <c r="H252" s="18">
        <v>8.6494282119945948E-2</v>
      </c>
      <c r="I252" s="18">
        <v>8.3145488943398789</v>
      </c>
      <c r="J252" s="18">
        <v>8.6563765768674372</v>
      </c>
      <c r="K252" s="18">
        <v>0.32580294054362696</v>
      </c>
      <c r="L252" s="18">
        <v>7.8416718317595642</v>
      </c>
      <c r="M252" s="18">
        <v>9.1292536394477519</v>
      </c>
    </row>
    <row r="253" spans="2:13" x14ac:dyDescent="0.15">
      <c r="B253" s="9" t="s">
        <v>372</v>
      </c>
      <c r="C253" s="15">
        <v>1</v>
      </c>
      <c r="D253" s="18">
        <v>10.033111320329633</v>
      </c>
      <c r="E253" s="18">
        <v>9.7805676936838015</v>
      </c>
      <c r="F253" s="18">
        <v>0.25254362664583141</v>
      </c>
      <c r="G253" s="18">
        <v>0.80399250865825167</v>
      </c>
      <c r="H253" s="18">
        <v>8.1490276836650055E-2</v>
      </c>
      <c r="I253" s="18">
        <v>9.6195418328010405</v>
      </c>
      <c r="J253" s="18">
        <v>9.9415935545665626</v>
      </c>
      <c r="K253" s="18">
        <v>0.3245103395060675</v>
      </c>
      <c r="L253" s="18">
        <v>9.1393309865234205</v>
      </c>
      <c r="M253" s="18">
        <v>10.421804400844183</v>
      </c>
    </row>
    <row r="254" spans="2:13" x14ac:dyDescent="0.15">
      <c r="B254" s="9" t="s">
        <v>373</v>
      </c>
      <c r="C254" s="15">
        <v>1</v>
      </c>
      <c r="D254" s="18">
        <v>8.680331928793418</v>
      </c>
      <c r="E254" s="18">
        <v>8.5800367320716902</v>
      </c>
      <c r="F254" s="18">
        <v>0.10029519672172782</v>
      </c>
      <c r="G254" s="18">
        <v>0.31929765122031767</v>
      </c>
      <c r="H254" s="18">
        <v>7.9756334156766584E-2</v>
      </c>
      <c r="I254" s="18">
        <v>8.4224371647737364</v>
      </c>
      <c r="J254" s="18">
        <v>8.7376362993696439</v>
      </c>
      <c r="K254" s="18">
        <v>0.32407926201093945</v>
      </c>
      <c r="L254" s="18">
        <v>7.9396518397222868</v>
      </c>
      <c r="M254" s="18">
        <v>9.2204216244210926</v>
      </c>
    </row>
    <row r="255" spans="2:13" x14ac:dyDescent="0.15">
      <c r="B255" s="9" t="s">
        <v>374</v>
      </c>
      <c r="C255" s="15">
        <v>1</v>
      </c>
      <c r="D255" s="18">
        <v>8.8920616255469351</v>
      </c>
      <c r="E255" s="18">
        <v>8.8554169088760659</v>
      </c>
      <c r="F255" s="18">
        <v>3.6644716670869215E-2</v>
      </c>
      <c r="G255" s="18">
        <v>0.1166613391776494</v>
      </c>
      <c r="H255" s="18">
        <v>5.9192736270094658E-2</v>
      </c>
      <c r="I255" s="18">
        <v>8.7384512819828775</v>
      </c>
      <c r="J255" s="18">
        <v>8.9723825357692544</v>
      </c>
      <c r="K255" s="18">
        <v>0.31964054069308906</v>
      </c>
      <c r="L255" s="18">
        <v>8.2238029883428254</v>
      </c>
      <c r="M255" s="18">
        <v>9.4870308294093064</v>
      </c>
    </row>
    <row r="256" spans="2:13" x14ac:dyDescent="0.15">
      <c r="B256" s="9" t="s">
        <v>375</v>
      </c>
      <c r="C256" s="15">
        <v>1</v>
      </c>
      <c r="D256" s="18">
        <v>8.6141383974727166</v>
      </c>
      <c r="E256" s="18">
        <v>8.5517491997054655</v>
      </c>
      <c r="F256" s="18">
        <v>6.2389197767251048E-2</v>
      </c>
      <c r="G256" s="18">
        <v>0.19862092063963765</v>
      </c>
      <c r="H256" s="18">
        <v>7.2642632107906752E-2</v>
      </c>
      <c r="I256" s="18">
        <v>8.4082064013982141</v>
      </c>
      <c r="J256" s="18">
        <v>8.695291998012717</v>
      </c>
      <c r="K256" s="18">
        <v>0.32240230648522666</v>
      </c>
      <c r="L256" s="18">
        <v>7.9146779935732692</v>
      </c>
      <c r="M256" s="18">
        <v>9.1888204058376619</v>
      </c>
    </row>
    <row r="257" spans="2:13" x14ac:dyDescent="0.15">
      <c r="B257" s="9" t="s">
        <v>376</v>
      </c>
      <c r="C257" s="15">
        <v>1</v>
      </c>
      <c r="D257" s="18">
        <v>8.7801726512276463</v>
      </c>
      <c r="E257" s="18">
        <v>8.7871525396207453</v>
      </c>
      <c r="F257" s="18">
        <v>-6.9798883930989319E-3</v>
      </c>
      <c r="G257" s="18">
        <v>-2.2221023962692245E-2</v>
      </c>
      <c r="H257" s="18">
        <v>5.6244749558253954E-2</v>
      </c>
      <c r="I257" s="18">
        <v>8.6760121733178082</v>
      </c>
      <c r="J257" s="18">
        <v>8.8982929059236824</v>
      </c>
      <c r="K257" s="18">
        <v>0.31910776718892325</v>
      </c>
      <c r="L257" s="18">
        <v>8.15659138655246</v>
      </c>
      <c r="M257" s="18">
        <v>9.4177136926890306</v>
      </c>
    </row>
    <row r="258" spans="2:13" x14ac:dyDescent="0.15">
      <c r="B258" s="9" t="s">
        <v>377</v>
      </c>
      <c r="C258" s="15">
        <v>1</v>
      </c>
      <c r="D258" s="18">
        <v>9.7173386809077869</v>
      </c>
      <c r="E258" s="18">
        <v>9.8558329570377339</v>
      </c>
      <c r="F258" s="18">
        <v>-0.13849427612994702</v>
      </c>
      <c r="G258" s="18">
        <v>-0.44090742648865294</v>
      </c>
      <c r="H258" s="18">
        <v>5.3323521816918171E-2</v>
      </c>
      <c r="I258" s="18">
        <v>9.7504649752467074</v>
      </c>
      <c r="J258" s="18">
        <v>9.9612009388287603</v>
      </c>
      <c r="K258" s="18">
        <v>0.31860585871322056</v>
      </c>
      <c r="L258" s="18">
        <v>9.2262635817314305</v>
      </c>
      <c r="M258" s="18">
        <v>10.485402332344037</v>
      </c>
    </row>
    <row r="259" spans="2:13" x14ac:dyDescent="0.15">
      <c r="B259" s="9" t="s">
        <v>378</v>
      </c>
      <c r="C259" s="15">
        <v>1</v>
      </c>
      <c r="D259" s="18">
        <v>8.8681317135030326</v>
      </c>
      <c r="E259" s="18">
        <v>8.7496941640099593</v>
      </c>
      <c r="F259" s="18">
        <v>0.11843754949307339</v>
      </c>
      <c r="G259" s="18">
        <v>0.37705525893081848</v>
      </c>
      <c r="H259" s="18">
        <v>6.3470161051000659E-2</v>
      </c>
      <c r="I259" s="18">
        <v>8.6242762893831273</v>
      </c>
      <c r="J259" s="18">
        <v>8.8751120386367912</v>
      </c>
      <c r="K259" s="18">
        <v>0.3204602261923768</v>
      </c>
      <c r="L259" s="18">
        <v>8.1164605341285654</v>
      </c>
      <c r="M259" s="18">
        <v>9.3829277938913531</v>
      </c>
    </row>
    <row r="260" spans="2:13" x14ac:dyDescent="0.15">
      <c r="B260" s="9" t="s">
        <v>379</v>
      </c>
      <c r="C260" s="15">
        <v>1</v>
      </c>
      <c r="D260" s="18">
        <v>8.8754269198189633</v>
      </c>
      <c r="E260" s="18">
        <v>8.8222142971229935</v>
      </c>
      <c r="F260" s="18">
        <v>5.3212622695969714E-2</v>
      </c>
      <c r="G260" s="18">
        <v>0.16940657177469062</v>
      </c>
      <c r="H260" s="18">
        <v>5.4087390475895843E-2</v>
      </c>
      <c r="I260" s="18">
        <v>8.715336900795803</v>
      </c>
      <c r="J260" s="18">
        <v>8.9290916934501841</v>
      </c>
      <c r="K260" s="18">
        <v>0.31873459340950322</v>
      </c>
      <c r="L260" s="18">
        <v>8.1923905403604103</v>
      </c>
      <c r="M260" s="18">
        <v>9.4520380538855768</v>
      </c>
    </row>
    <row r="261" spans="2:13" x14ac:dyDescent="0.15">
      <c r="B261" s="9" t="s">
        <v>380</v>
      </c>
      <c r="C261" s="15">
        <v>1</v>
      </c>
      <c r="D261" s="18">
        <v>8.7527395094474905</v>
      </c>
      <c r="E261" s="18">
        <v>8.4342764230394565</v>
      </c>
      <c r="F261" s="18">
        <v>0.318463086408034</v>
      </c>
      <c r="G261" s="18">
        <v>1.0138522961631475</v>
      </c>
      <c r="H261" s="18">
        <v>8.3950157694398952E-2</v>
      </c>
      <c r="I261" s="18">
        <v>8.2683898051662386</v>
      </c>
      <c r="J261" s="18">
        <v>8.6001630409126744</v>
      </c>
      <c r="K261" s="18">
        <v>0.32513677768647425</v>
      </c>
      <c r="L261" s="18">
        <v>7.7918018657795836</v>
      </c>
      <c r="M261" s="18">
        <v>9.0767509802993303</v>
      </c>
    </row>
    <row r="262" spans="2:13" x14ac:dyDescent="0.15">
      <c r="B262" s="9" t="s">
        <v>381</v>
      </c>
      <c r="C262" s="15">
        <v>1</v>
      </c>
      <c r="D262" s="18">
        <v>10.873868663307157</v>
      </c>
      <c r="E262" s="18">
        <v>10.650413787007281</v>
      </c>
      <c r="F262" s="18">
        <v>0.22345487629987559</v>
      </c>
      <c r="G262" s="18">
        <v>0.71138618287210598</v>
      </c>
      <c r="H262" s="18">
        <v>8.5196051308671791E-2</v>
      </c>
      <c r="I262" s="18">
        <v>10.482065266934262</v>
      </c>
      <c r="J262" s="18">
        <v>10.8187623070803</v>
      </c>
      <c r="K262" s="18">
        <v>0.3254606925360099</v>
      </c>
      <c r="L262" s="18">
        <v>10.007299169736276</v>
      </c>
      <c r="M262" s="18">
        <v>11.293528404278286</v>
      </c>
    </row>
    <row r="263" spans="2:13" x14ac:dyDescent="0.15">
      <c r="B263" s="9" t="s">
        <v>382</v>
      </c>
      <c r="C263" s="15">
        <v>1</v>
      </c>
      <c r="D263" s="18">
        <v>8.8651704196517738</v>
      </c>
      <c r="E263" s="18">
        <v>8.8375101201006316</v>
      </c>
      <c r="F263" s="18">
        <v>2.7660299551142131E-2</v>
      </c>
      <c r="G263" s="18">
        <v>8.8058740272820721E-2</v>
      </c>
      <c r="H263" s="18">
        <v>5.719342338280449E-2</v>
      </c>
      <c r="I263" s="18">
        <v>8.7244951618190534</v>
      </c>
      <c r="J263" s="18">
        <v>8.9505250783822099</v>
      </c>
      <c r="K263" s="18">
        <v>0.31927634253992898</v>
      </c>
      <c r="L263" s="18">
        <v>8.2066158599173242</v>
      </c>
      <c r="M263" s="18">
        <v>9.468404380283939</v>
      </c>
    </row>
    <row r="264" spans="2:13" x14ac:dyDescent="0.15">
      <c r="B264" s="9" t="s">
        <v>383</v>
      </c>
      <c r="C264" s="15">
        <v>1</v>
      </c>
      <c r="D264" s="18">
        <v>8.6238928100752936</v>
      </c>
      <c r="E264" s="18">
        <v>8.5248160946147369</v>
      </c>
      <c r="F264" s="18">
        <v>9.9076715460556741E-2</v>
      </c>
      <c r="G264" s="18">
        <v>0.31541852024032319</v>
      </c>
      <c r="H264" s="18">
        <v>8.3556495126321489E-2</v>
      </c>
      <c r="I264" s="18">
        <v>8.359707359163604</v>
      </c>
      <c r="J264" s="18">
        <v>8.6899248300658698</v>
      </c>
      <c r="K264" s="18">
        <v>0.32503535670019701</v>
      </c>
      <c r="L264" s="18">
        <v>7.8825419465602415</v>
      </c>
      <c r="M264" s="18">
        <v>9.1670902426692322</v>
      </c>
    </row>
    <row r="265" spans="2:13" x14ac:dyDescent="0.15">
      <c r="B265" s="9" t="s">
        <v>384</v>
      </c>
      <c r="C265" s="15">
        <v>1</v>
      </c>
      <c r="D265" s="18">
        <v>8.912473274466036</v>
      </c>
      <c r="E265" s="18">
        <v>8.8316700847066834</v>
      </c>
      <c r="F265" s="18">
        <v>8.0803189759352634E-2</v>
      </c>
      <c r="G265" s="18">
        <v>0.25724331318532212</v>
      </c>
      <c r="H265" s="18">
        <v>8.3211035807733355E-2</v>
      </c>
      <c r="I265" s="18">
        <v>8.6672439814214357</v>
      </c>
      <c r="J265" s="18">
        <v>8.996096187991931</v>
      </c>
      <c r="K265" s="18">
        <v>0.32494672133693736</v>
      </c>
      <c r="L265" s="18">
        <v>8.1895710812979985</v>
      </c>
      <c r="M265" s="18">
        <v>9.4737690881153682</v>
      </c>
    </row>
    <row r="266" spans="2:13" x14ac:dyDescent="0.15">
      <c r="B266" s="9" t="s">
        <v>385</v>
      </c>
      <c r="C266" s="15">
        <v>1</v>
      </c>
      <c r="D266" s="18">
        <v>8.9728443144375731</v>
      </c>
      <c r="E266" s="18">
        <v>8.8572353399340091</v>
      </c>
      <c r="F266" s="18">
        <v>0.115608974503564</v>
      </c>
      <c r="G266" s="18">
        <v>0.36805026786472866</v>
      </c>
      <c r="H266" s="18">
        <v>7.8262925714956535E-2</v>
      </c>
      <c r="I266" s="18">
        <v>8.7025867673967454</v>
      </c>
      <c r="J266" s="18">
        <v>9.0118839124712729</v>
      </c>
      <c r="K266" s="18">
        <v>0.32371496840414121</v>
      </c>
      <c r="L266" s="18">
        <v>8.2175702965521875</v>
      </c>
      <c r="M266" s="18">
        <v>9.4969003833158308</v>
      </c>
    </row>
    <row r="267" spans="2:13" x14ac:dyDescent="0.15">
      <c r="B267" s="9" t="s">
        <v>386</v>
      </c>
      <c r="C267" s="15">
        <v>1</v>
      </c>
      <c r="D267" s="18">
        <v>10.097778851943309</v>
      </c>
      <c r="E267" s="18">
        <v>9.9728466638556021</v>
      </c>
      <c r="F267" s="18">
        <v>0.12493218808770656</v>
      </c>
      <c r="G267" s="18">
        <v>0.39773145197468684</v>
      </c>
      <c r="H267" s="18">
        <v>7.4335332318735625E-2</v>
      </c>
      <c r="I267" s="18">
        <v>9.8259590676258757</v>
      </c>
      <c r="J267" s="18">
        <v>10.119734260085329</v>
      </c>
      <c r="K267" s="18">
        <v>0.32278791312310035</v>
      </c>
      <c r="L267" s="18">
        <v>9.3350134939255636</v>
      </c>
      <c r="M267" s="18">
        <v>10.610679833785641</v>
      </c>
    </row>
    <row r="268" spans="2:13" x14ac:dyDescent="0.15">
      <c r="B268" s="9" t="s">
        <v>387</v>
      </c>
      <c r="C268" s="15">
        <v>1</v>
      </c>
      <c r="D268" s="18">
        <v>8.7702838190983989</v>
      </c>
      <c r="E268" s="18">
        <v>8.8166791214147864</v>
      </c>
      <c r="F268" s="18">
        <v>-4.6395302316387443E-2</v>
      </c>
      <c r="G268" s="18">
        <v>-0.14770309587587468</v>
      </c>
      <c r="H268" s="18">
        <v>6.5223588567216037E-2</v>
      </c>
      <c r="I268" s="18">
        <v>8.68779645090979</v>
      </c>
      <c r="J268" s="18">
        <v>8.9455617919197827</v>
      </c>
      <c r="K268" s="18">
        <v>0.3208121128215311</v>
      </c>
      <c r="L268" s="18">
        <v>8.1827501589171305</v>
      </c>
      <c r="M268" s="18">
        <v>9.4506080839124422</v>
      </c>
    </row>
    <row r="269" spans="2:13" x14ac:dyDescent="0.15">
      <c r="B269" s="9" t="s">
        <v>388</v>
      </c>
      <c r="C269" s="15">
        <v>1</v>
      </c>
      <c r="D269" s="18">
        <v>8.9571241364056799</v>
      </c>
      <c r="E269" s="18">
        <v>8.822734937376925</v>
      </c>
      <c r="F269" s="18">
        <v>0.1343891990287549</v>
      </c>
      <c r="G269" s="18">
        <v>0.42783859049917233</v>
      </c>
      <c r="H269" s="18">
        <v>8.7884494591314213E-2</v>
      </c>
      <c r="I269" s="18">
        <v>8.6490740179499337</v>
      </c>
      <c r="J269" s="18">
        <v>8.9963958568039164</v>
      </c>
      <c r="K269" s="18">
        <v>0.32617476851681837</v>
      </c>
      <c r="L269" s="18">
        <v>8.1782092965579718</v>
      </c>
      <c r="M269" s="18">
        <v>9.4672605781958783</v>
      </c>
    </row>
    <row r="270" spans="2:13" ht="14" thickBot="1" x14ac:dyDescent="0.2">
      <c r="B270" s="13" t="s">
        <v>389</v>
      </c>
      <c r="C270" s="16">
        <v>1</v>
      </c>
      <c r="D270" s="19">
        <v>8.97322466309509</v>
      </c>
      <c r="E270" s="19">
        <v>8.7148531643448699</v>
      </c>
      <c r="F270" s="19">
        <v>0.25837149875022014</v>
      </c>
      <c r="G270" s="19">
        <v>0.82254599811105822</v>
      </c>
      <c r="H270" s="19">
        <v>7.5892542279173997E-2</v>
      </c>
      <c r="I270" s="19">
        <v>8.5648885007128879</v>
      </c>
      <c r="J270" s="19">
        <v>8.8648178279768519</v>
      </c>
      <c r="K270" s="19">
        <v>0.3231500784481191</v>
      </c>
      <c r="L270" s="19">
        <v>8.0763043509600916</v>
      </c>
      <c r="M270" s="19">
        <v>9.3534019777296482</v>
      </c>
    </row>
    <row r="292" spans="6:6" x14ac:dyDescent="0.15">
      <c r="F292" t="s">
        <v>230</v>
      </c>
    </row>
    <row r="314" spans="6:6" x14ac:dyDescent="0.15">
      <c r="F314" t="s">
        <v>230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DD215278">
              <controlPr defaultSize="0" autoFill="0" autoPict="0" macro="[0]!GoToResultsNew1101202119241538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XLSTAT_20211101_192320_1_HID">
    <tabColor rgb="FF007800"/>
  </sheetPr>
  <dimension ref="A1:H70"/>
  <sheetViews>
    <sheetView workbookViewId="0"/>
  </sheetViews>
  <sheetFormatPr baseColWidth="10" defaultRowHeight="13" x14ac:dyDescent="0.15"/>
  <sheetData>
    <row r="1" spans="1:8" x14ac:dyDescent="0.15">
      <c r="A1">
        <v>1</v>
      </c>
      <c r="C1">
        <f t="shared" ref="C1:C32" si="0">7.99234685064875+(A1-1)*0.0826482020203777</f>
        <v>7.9923468506487501</v>
      </c>
      <c r="D1">
        <f t="shared" ref="D1:D32" si="1">0+1*C1-0.620689283568562*(1.00641025641026+(C1-9.12116225229538)^2/63.5552543338591)^0.5</f>
        <v>7.3634996654671783</v>
      </c>
      <c r="E1">
        <v>1</v>
      </c>
      <c r="G1">
        <f t="shared" ref="G1:G32" si="2">6.49911482844916+(E1-1)*0.104289245820372</f>
        <v>6.4991148284491604</v>
      </c>
      <c r="H1">
        <f t="shared" ref="H1:H32" si="3">0+1*G1+0.620689283568562*(1.00641025641026+(G1-9.12116225229538)^2/63.5552543338591)^0.5</f>
        <v>7.1544010346846907</v>
      </c>
    </row>
    <row r="2" spans="1:8" x14ac:dyDescent="0.15">
      <c r="A2">
        <v>2</v>
      </c>
      <c r="C2">
        <f t="shared" si="0"/>
        <v>8.0749950526691272</v>
      </c>
      <c r="D2">
        <f t="shared" si="1"/>
        <v>7.4470148505136287</v>
      </c>
      <c r="E2">
        <v>2</v>
      </c>
      <c r="G2">
        <f t="shared" si="2"/>
        <v>6.6034040742695321</v>
      </c>
      <c r="H2">
        <f t="shared" si="3"/>
        <v>7.2562063116585049</v>
      </c>
    </row>
    <row r="3" spans="1:8" x14ac:dyDescent="0.15">
      <c r="A3">
        <v>3</v>
      </c>
      <c r="C3">
        <f t="shared" si="0"/>
        <v>8.1576432546895052</v>
      </c>
      <c r="D3">
        <f t="shared" si="1"/>
        <v>7.5304652110706867</v>
      </c>
      <c r="E3">
        <v>3</v>
      </c>
      <c r="G3">
        <f t="shared" si="2"/>
        <v>6.7076933200899047</v>
      </c>
      <c r="H3">
        <f t="shared" si="3"/>
        <v>7.3581034738203428</v>
      </c>
    </row>
    <row r="4" spans="1:8" x14ac:dyDescent="0.15">
      <c r="A4">
        <v>4</v>
      </c>
      <c r="C4">
        <f t="shared" si="0"/>
        <v>8.2402914567098833</v>
      </c>
      <c r="D4">
        <f t="shared" si="1"/>
        <v>7.6138504981147497</v>
      </c>
      <c r="E4">
        <v>4</v>
      </c>
      <c r="G4">
        <f t="shared" si="2"/>
        <v>6.8119825659102764</v>
      </c>
      <c r="H4">
        <f t="shared" si="3"/>
        <v>7.460093538575733</v>
      </c>
    </row>
    <row r="5" spans="1:8" x14ac:dyDescent="0.15">
      <c r="A5">
        <v>5</v>
      </c>
      <c r="C5">
        <f t="shared" si="0"/>
        <v>8.3229396587302613</v>
      </c>
      <c r="D5">
        <f t="shared" si="1"/>
        <v>7.6971704816981514</v>
      </c>
      <c r="E5">
        <v>5</v>
      </c>
      <c r="G5">
        <f t="shared" si="2"/>
        <v>6.9162718117306481</v>
      </c>
      <c r="H5">
        <f t="shared" si="3"/>
        <v>7.5621774980202048</v>
      </c>
    </row>
    <row r="6" spans="1:8" x14ac:dyDescent="0.15">
      <c r="A6">
        <v>6</v>
      </c>
      <c r="C6">
        <f t="shared" si="0"/>
        <v>8.4055878607506394</v>
      </c>
      <c r="D6">
        <f t="shared" si="1"/>
        <v>7.7804249513013559</v>
      </c>
      <c r="E6">
        <v>6</v>
      </c>
      <c r="G6">
        <f t="shared" si="2"/>
        <v>7.0205610575510207</v>
      </c>
      <c r="H6">
        <f t="shared" si="3"/>
        <v>7.664356317048254</v>
      </c>
    </row>
    <row r="7" spans="1:8" x14ac:dyDescent="0.15">
      <c r="A7">
        <v>7</v>
      </c>
      <c r="C7">
        <f t="shared" si="0"/>
        <v>8.4882360627710156</v>
      </c>
      <c r="D7">
        <f t="shared" si="1"/>
        <v>7.863613716157853</v>
      </c>
      <c r="E7">
        <v>7</v>
      </c>
      <c r="G7">
        <f t="shared" si="2"/>
        <v>7.1248503033713924</v>
      </c>
      <c r="H7">
        <f t="shared" si="3"/>
        <v>7.766630931467275</v>
      </c>
    </row>
    <row r="8" spans="1:8" x14ac:dyDescent="0.15">
      <c r="A8">
        <v>8</v>
      </c>
      <c r="C8">
        <f t="shared" si="0"/>
        <v>8.5708842647913936</v>
      </c>
      <c r="D8">
        <f t="shared" si="1"/>
        <v>7.9467366055505941</v>
      </c>
      <c r="E8">
        <v>8</v>
      </c>
      <c r="G8">
        <f t="shared" si="2"/>
        <v>7.229139549191764</v>
      </c>
      <c r="H8">
        <f t="shared" si="3"/>
        <v>7.8690022461239169</v>
      </c>
    </row>
    <row r="9" spans="1:8" x14ac:dyDescent="0.15">
      <c r="A9">
        <v>9</v>
      </c>
      <c r="C9">
        <f t="shared" si="0"/>
        <v>8.6535324668117717</v>
      </c>
      <c r="D9">
        <f t="shared" si="1"/>
        <v>8.0297934690789088</v>
      </c>
      <c r="E9">
        <v>9</v>
      </c>
      <c r="G9">
        <f t="shared" si="2"/>
        <v>7.3334287950121366</v>
      </c>
      <c r="H9">
        <f t="shared" si="3"/>
        <v>7.971471133050561</v>
      </c>
    </row>
    <row r="10" spans="1:8" x14ac:dyDescent="0.15">
      <c r="A10">
        <v>10</v>
      </c>
      <c r="C10">
        <f t="shared" si="0"/>
        <v>8.7361806688321497</v>
      </c>
      <c r="D10">
        <f t="shared" si="1"/>
        <v>8.1127841768949409</v>
      </c>
      <c r="E10">
        <v>10</v>
      </c>
      <c r="G10">
        <f t="shared" si="2"/>
        <v>7.4377180408325083</v>
      </c>
      <c r="H10">
        <f t="shared" si="3"/>
        <v>8.0740384296398275</v>
      </c>
    </row>
    <row r="11" spans="1:8" x14ac:dyDescent="0.15">
      <c r="A11">
        <v>11</v>
      </c>
      <c r="C11">
        <f t="shared" si="0"/>
        <v>8.8188288708525278</v>
      </c>
      <c r="D11">
        <f t="shared" si="1"/>
        <v>8.1957086199087517</v>
      </c>
      <c r="E11">
        <v>11</v>
      </c>
      <c r="G11">
        <f t="shared" si="2"/>
        <v>7.5420072866528809</v>
      </c>
      <c r="H11">
        <f t="shared" si="3"/>
        <v>8.1767049368552147</v>
      </c>
    </row>
    <row r="12" spans="1:8" x14ac:dyDescent="0.15">
      <c r="A12">
        <v>12</v>
      </c>
      <c r="C12">
        <f t="shared" si="0"/>
        <v>8.901477072872904</v>
      </c>
      <c r="D12">
        <f t="shared" si="1"/>
        <v>8.2785667099613196</v>
      </c>
      <c r="E12">
        <v>12</v>
      </c>
      <c r="G12">
        <f t="shared" si="2"/>
        <v>7.6462965324732526</v>
      </c>
      <c r="H12">
        <f t="shared" si="3"/>
        <v>8.2794714174860253</v>
      </c>
    </row>
    <row r="13" spans="1:8" x14ac:dyDescent="0.15">
      <c r="A13">
        <v>13</v>
      </c>
      <c r="C13">
        <f t="shared" si="0"/>
        <v>8.9841252748932821</v>
      </c>
      <c r="D13">
        <f t="shared" si="1"/>
        <v>8.3613583799648161</v>
      </c>
      <c r="E13">
        <v>13</v>
      </c>
      <c r="G13">
        <f t="shared" si="2"/>
        <v>7.7505857782936243</v>
      </c>
      <c r="H13">
        <f t="shared" si="3"/>
        <v>8.3823385944548345</v>
      </c>
    </row>
    <row r="14" spans="1:8" x14ac:dyDescent="0.15">
      <c r="A14">
        <v>14</v>
      </c>
      <c r="C14">
        <f t="shared" si="0"/>
        <v>9.0667734769136601</v>
      </c>
      <c r="D14">
        <f t="shared" si="1"/>
        <v>8.4440835840096256</v>
      </c>
      <c r="E14">
        <v>14</v>
      </c>
      <c r="G14">
        <f t="shared" si="2"/>
        <v>7.854875024113996</v>
      </c>
      <c r="H14">
        <f t="shared" si="3"/>
        <v>8.4853071491856884</v>
      </c>
    </row>
    <row r="15" spans="1:8" x14ac:dyDescent="0.15">
      <c r="A15">
        <v>15</v>
      </c>
      <c r="C15">
        <f t="shared" si="0"/>
        <v>9.1494216789340381</v>
      </c>
      <c r="D15">
        <f t="shared" si="1"/>
        <v>8.5267422974377283</v>
      </c>
      <c r="E15">
        <v>15</v>
      </c>
      <c r="G15">
        <f t="shared" si="2"/>
        <v>7.9591642699343685</v>
      </c>
      <c r="H15">
        <f t="shared" si="3"/>
        <v>8.5883777200411728</v>
      </c>
    </row>
    <row r="16" spans="1:8" x14ac:dyDescent="0.15">
      <c r="A16">
        <v>16</v>
      </c>
      <c r="C16">
        <f t="shared" si="0"/>
        <v>9.2320698809544162</v>
      </c>
      <c r="D16">
        <f t="shared" si="1"/>
        <v>8.6093345168821571</v>
      </c>
      <c r="E16">
        <v>16</v>
      </c>
      <c r="G16">
        <f t="shared" si="2"/>
        <v>8.0634535157547411</v>
      </c>
      <c r="H16">
        <f t="shared" si="3"/>
        <v>8.6915509008363188</v>
      </c>
    </row>
    <row r="17" spans="1:8" x14ac:dyDescent="0.15">
      <c r="A17">
        <v>17</v>
      </c>
      <c r="C17">
        <f t="shared" si="0"/>
        <v>9.3147180829747924</v>
      </c>
      <c r="D17">
        <f t="shared" si="1"/>
        <v>8.6918602602723833</v>
      </c>
      <c r="E17">
        <v>17</v>
      </c>
      <c r="G17">
        <f t="shared" si="2"/>
        <v>8.1677427615751128</v>
      </c>
      <c r="H17">
        <f t="shared" si="3"/>
        <v>8.7948272394370903</v>
      </c>
    </row>
    <row r="18" spans="1:8" x14ac:dyDescent="0.15">
      <c r="A18">
        <v>18</v>
      </c>
      <c r="C18">
        <f t="shared" si="0"/>
        <v>9.3973662849951705</v>
      </c>
      <c r="D18">
        <f t="shared" si="1"/>
        <v>8.774319566805632</v>
      </c>
      <c r="E18">
        <v>18</v>
      </c>
      <c r="G18">
        <f t="shared" si="2"/>
        <v>8.2720320073954845</v>
      </c>
      <c r="H18">
        <f t="shared" si="3"/>
        <v>8.8982072364509381</v>
      </c>
    </row>
    <row r="19" spans="1:8" x14ac:dyDescent="0.15">
      <c r="A19">
        <v>19</v>
      </c>
      <c r="C19">
        <f t="shared" si="0"/>
        <v>9.4800144870155485</v>
      </c>
      <c r="D19">
        <f t="shared" si="1"/>
        <v>8.856712496884187</v>
      </c>
      <c r="E19">
        <v>19</v>
      </c>
      <c r="G19">
        <f t="shared" si="2"/>
        <v>8.3763212532158562</v>
      </c>
      <c r="H19">
        <f t="shared" si="3"/>
        <v>9.0016913440164785</v>
      </c>
    </row>
    <row r="20" spans="1:8" x14ac:dyDescent="0.15">
      <c r="A20">
        <v>20</v>
      </c>
      <c r="C20">
        <f t="shared" si="0"/>
        <v>9.5626626890359265</v>
      </c>
      <c r="D20">
        <f t="shared" si="1"/>
        <v>8.9390391320189782</v>
      </c>
      <c r="E20">
        <v>20</v>
      </c>
      <c r="G20">
        <f t="shared" si="2"/>
        <v>8.4806104990362279</v>
      </c>
      <c r="H20">
        <f t="shared" si="3"/>
        <v>9.1052799646990028</v>
      </c>
    </row>
    <row r="21" spans="1:8" x14ac:dyDescent="0.15">
      <c r="A21">
        <v>21</v>
      </c>
      <c r="C21">
        <f t="shared" si="0"/>
        <v>9.6453108910563046</v>
      </c>
      <c r="D21">
        <f t="shared" si="1"/>
        <v>9.021299574699766</v>
      </c>
      <c r="E21">
        <v>21</v>
      </c>
      <c r="G21">
        <f t="shared" si="2"/>
        <v>8.5848997448565996</v>
      </c>
      <c r="H21">
        <f t="shared" si="3"/>
        <v>9.2089734504979788</v>
      </c>
    </row>
    <row r="22" spans="1:8" x14ac:dyDescent="0.15">
      <c r="A22">
        <v>22</v>
      </c>
      <c r="C22">
        <f t="shared" si="0"/>
        <v>9.7279590930766808</v>
      </c>
      <c r="D22">
        <f t="shared" si="1"/>
        <v>9.1034939482324209</v>
      </c>
      <c r="E22">
        <v>22</v>
      </c>
      <c r="G22">
        <f t="shared" si="2"/>
        <v>8.6891889906769713</v>
      </c>
      <c r="H22">
        <f t="shared" si="3"/>
        <v>9.3127721019721825</v>
      </c>
    </row>
    <row r="23" spans="1:8" x14ac:dyDescent="0.15">
      <c r="A23">
        <v>23</v>
      </c>
      <c r="C23">
        <f t="shared" si="0"/>
        <v>9.8106072950970589</v>
      </c>
      <c r="D23">
        <f t="shared" si="1"/>
        <v>9.1856223965439039</v>
      </c>
      <c r="E23">
        <v>23</v>
      </c>
      <c r="G23">
        <f t="shared" si="2"/>
        <v>8.7934782364973447</v>
      </c>
      <c r="H23">
        <f t="shared" si="3"/>
        <v>9.4166761674874735</v>
      </c>
    </row>
    <row r="24" spans="1:8" x14ac:dyDescent="0.15">
      <c r="A24">
        <v>24</v>
      </c>
      <c r="C24">
        <f t="shared" si="0"/>
        <v>9.8932554971174369</v>
      </c>
      <c r="D24">
        <f t="shared" si="1"/>
        <v>9.2676850839556355</v>
      </c>
      <c r="E24">
        <v>24</v>
      </c>
      <c r="G24">
        <f t="shared" si="2"/>
        <v>8.8977674823177164</v>
      </c>
      <c r="H24">
        <f t="shared" si="3"/>
        <v>9.5206858425915524</v>
      </c>
    </row>
    <row r="25" spans="1:8" x14ac:dyDescent="0.15">
      <c r="A25">
        <v>25</v>
      </c>
      <c r="C25">
        <f t="shared" si="0"/>
        <v>9.9759036991378149</v>
      </c>
      <c r="D25">
        <f t="shared" si="1"/>
        <v>9.3496821949261264</v>
      </c>
      <c r="E25">
        <v>25</v>
      </c>
      <c r="G25">
        <f t="shared" si="2"/>
        <v>9.0020567281380881</v>
      </c>
      <c r="H25">
        <f t="shared" si="3"/>
        <v>9.6248012695194021</v>
      </c>
    </row>
    <row r="26" spans="1:8" x14ac:dyDescent="0.15">
      <c r="A26">
        <v>26</v>
      </c>
      <c r="C26">
        <f t="shared" si="0"/>
        <v>10.058551901158193</v>
      </c>
      <c r="D26">
        <f t="shared" si="1"/>
        <v>9.4316139337637583</v>
      </c>
      <c r="E26">
        <v>26</v>
      </c>
      <c r="G26">
        <f t="shared" si="2"/>
        <v>9.1063459739584598</v>
      </c>
      <c r="H26">
        <f t="shared" si="3"/>
        <v>9.7290225368322414</v>
      </c>
    </row>
    <row r="27" spans="1:8" x14ac:dyDescent="0.15">
      <c r="A27">
        <v>27</v>
      </c>
      <c r="C27">
        <f t="shared" si="0"/>
        <v>10.141200103178569</v>
      </c>
      <c r="D27">
        <f t="shared" si="1"/>
        <v>9.5134805243107632</v>
      </c>
      <c r="E27">
        <v>27</v>
      </c>
      <c r="G27">
        <f t="shared" si="2"/>
        <v>9.2106352197788333</v>
      </c>
      <c r="H27">
        <f t="shared" si="3"/>
        <v>9.8333496791922137</v>
      </c>
    </row>
    <row r="28" spans="1:8" x14ac:dyDescent="0.15">
      <c r="A28">
        <v>28</v>
      </c>
      <c r="C28">
        <f t="shared" si="0"/>
        <v>10.223848305198949</v>
      </c>
      <c r="D28">
        <f t="shared" si="1"/>
        <v>9.5952822095995458</v>
      </c>
      <c r="E28">
        <v>28</v>
      </c>
      <c r="G28">
        <f t="shared" si="2"/>
        <v>9.314924465599205</v>
      </c>
      <c r="H28">
        <f t="shared" si="3"/>
        <v>9.9377826772740612</v>
      </c>
    </row>
    <row r="29" spans="1:8" x14ac:dyDescent="0.15">
      <c r="A29">
        <v>29</v>
      </c>
      <c r="C29">
        <f t="shared" si="0"/>
        <v>10.306496507219325</v>
      </c>
      <c r="D29">
        <f t="shared" si="1"/>
        <v>9.6770192514824931</v>
      </c>
      <c r="E29">
        <v>29</v>
      </c>
      <c r="G29">
        <f t="shared" si="2"/>
        <v>9.4192137114195766</v>
      </c>
      <c r="H29">
        <f t="shared" si="3"/>
        <v>10.042321457814378</v>
      </c>
    </row>
    <row r="30" spans="1:8" x14ac:dyDescent="0.15">
      <c r="A30">
        <v>30</v>
      </c>
      <c r="C30">
        <f t="shared" si="0"/>
        <v>10.389144709239703</v>
      </c>
      <c r="D30">
        <f t="shared" si="1"/>
        <v>9.7586919302366564</v>
      </c>
      <c r="E30">
        <v>30</v>
      </c>
      <c r="G30">
        <f t="shared" si="2"/>
        <v>9.5235029572399483</v>
      </c>
      <c r="H30">
        <f t="shared" si="3"/>
        <v>10.146965893798107</v>
      </c>
    </row>
    <row r="31" spans="1:8" x14ac:dyDescent="0.15">
      <c r="A31">
        <v>31</v>
      </c>
      <c r="C31">
        <f t="shared" si="0"/>
        <v>10.471792911260081</v>
      </c>
      <c r="D31">
        <f t="shared" si="1"/>
        <v>9.8403005441445739</v>
      </c>
      <c r="E31">
        <v>31</v>
      </c>
      <c r="G31">
        <f t="shared" si="2"/>
        <v>9.62779220306032</v>
      </c>
      <c r="H31">
        <f t="shared" si="3"/>
        <v>10.251715804781194</v>
      </c>
    </row>
    <row r="32" spans="1:8" x14ac:dyDescent="0.15">
      <c r="A32">
        <v>32</v>
      </c>
      <c r="C32">
        <f t="shared" si="0"/>
        <v>10.554441113280459</v>
      </c>
      <c r="D32">
        <f t="shared" si="1"/>
        <v>9.9218454090526933</v>
      </c>
      <c r="E32">
        <v>32</v>
      </c>
      <c r="G32">
        <f t="shared" si="2"/>
        <v>9.7320814488806917</v>
      </c>
      <c r="H32">
        <f t="shared" si="3"/>
        <v>10.356570957347472</v>
      </c>
    </row>
    <row r="33" spans="1:8" x14ac:dyDescent="0.15">
      <c r="A33">
        <v>33</v>
      </c>
      <c r="C33">
        <f t="shared" ref="C33:C64" si="4">7.99234685064875+(A33-1)*0.0826482020203777</f>
        <v>10.637089315300837</v>
      </c>
      <c r="D33">
        <f t="shared" ref="D33:D64" si="5">0+1*C33-0.620689283568562*(1.00641025641026+(C33-9.12116225229538)^2/63.5552543338591)^0.5</f>
        <v>10.003326857908879</v>
      </c>
      <c r="E33">
        <v>33</v>
      </c>
      <c r="G33">
        <f t="shared" ref="G33:G64" si="6">6.49911482844916+(E33-1)*0.104289245820372</f>
        <v>9.8363706947010634</v>
      </c>
      <c r="H33">
        <f t="shared" ref="H33:H64" si="7">0+1*G33+0.620689283568562*(1.00641025641026+(G33-9.12116225229538)^2/63.5552543338591)^0.5</f>
        <v>10.461531065697114</v>
      </c>
    </row>
    <row r="34" spans="1:8" x14ac:dyDescent="0.15">
      <c r="A34">
        <v>34</v>
      </c>
      <c r="C34">
        <f t="shared" si="4"/>
        <v>10.719737517321214</v>
      </c>
      <c r="D34">
        <f t="shared" si="5"/>
        <v>10.084745240280496</v>
      </c>
      <c r="E34">
        <v>34</v>
      </c>
      <c r="G34">
        <f t="shared" si="6"/>
        <v>9.9406599405214369</v>
      </c>
      <c r="H34">
        <f t="shared" si="7"/>
        <v>10.566595792363195</v>
      </c>
    </row>
    <row r="35" spans="1:8" x14ac:dyDescent="0.15">
      <c r="A35">
        <v>35</v>
      </c>
      <c r="C35">
        <f t="shared" si="4"/>
        <v>10.802385719341592</v>
      </c>
      <c r="D35">
        <f t="shared" si="5"/>
        <v>10.166100921854639</v>
      </c>
      <c r="E35">
        <v>35</v>
      </c>
      <c r="G35">
        <f t="shared" si="6"/>
        <v>10.044949186341809</v>
      </c>
      <c r="H35">
        <f t="shared" si="7"/>
        <v>10.671764749052183</v>
      </c>
    </row>
    <row r="36" spans="1:8" x14ac:dyDescent="0.15">
      <c r="A36">
        <v>36</v>
      </c>
      <c r="C36">
        <f t="shared" si="4"/>
        <v>10.88503392136197</v>
      </c>
      <c r="D36">
        <f t="shared" si="5"/>
        <v>10.247394283922089</v>
      </c>
      <c r="E36">
        <v>36</v>
      </c>
      <c r="G36">
        <f t="shared" si="6"/>
        <v>10.14923843216218</v>
      </c>
      <c r="H36">
        <f t="shared" si="7"/>
        <v>10.777037497603573</v>
      </c>
    </row>
    <row r="37" spans="1:8" x14ac:dyDescent="0.15">
      <c r="A37">
        <v>37</v>
      </c>
      <c r="C37">
        <f t="shared" si="4"/>
        <v>10.967682123382348</v>
      </c>
      <c r="D37">
        <f t="shared" si="5"/>
        <v>10.328625722846601</v>
      </c>
      <c r="E37">
        <v>37</v>
      </c>
      <c r="G37">
        <f t="shared" si="6"/>
        <v>10.253527677982552</v>
      </c>
      <c r="H37">
        <f t="shared" si="7"/>
        <v>10.882413551063159</v>
      </c>
    </row>
    <row r="38" spans="1:8" x14ac:dyDescent="0.15">
      <c r="A38">
        <v>38</v>
      </c>
      <c r="C38">
        <f t="shared" si="4"/>
        <v>11.050330325402726</v>
      </c>
      <c r="D38">
        <f t="shared" si="5"/>
        <v>10.409795649521129</v>
      </c>
      <c r="E38">
        <v>38</v>
      </c>
      <c r="G38">
        <f t="shared" si="6"/>
        <v>10.357816923802924</v>
      </c>
      <c r="H38">
        <f t="shared" si="7"/>
        <v>10.987892374863936</v>
      </c>
    </row>
    <row r="39" spans="1:8" x14ac:dyDescent="0.15">
      <c r="A39">
        <v>39</v>
      </c>
      <c r="C39">
        <f t="shared" si="4"/>
        <v>11.132978527423102</v>
      </c>
      <c r="D39">
        <f t="shared" si="5"/>
        <v>10.490904488812621</v>
      </c>
      <c r="E39">
        <v>39</v>
      </c>
      <c r="G39">
        <f t="shared" si="6"/>
        <v>10.462106169623297</v>
      </c>
      <c r="H39">
        <f t="shared" si="7"/>
        <v>11.093473388108089</v>
      </c>
    </row>
    <row r="40" spans="1:8" x14ac:dyDescent="0.15">
      <c r="A40">
        <v>40</v>
      </c>
      <c r="C40">
        <f t="shared" si="4"/>
        <v>11.21562672944348</v>
      </c>
      <c r="D40">
        <f t="shared" si="5"/>
        <v>10.571952678996986</v>
      </c>
      <c r="E40">
        <v>40</v>
      </c>
      <c r="G40">
        <f t="shared" si="6"/>
        <v>10.566395415443669</v>
      </c>
      <c r="H40">
        <f t="shared" si="7"/>
        <v>11.199155964943097</v>
      </c>
    </row>
    <row r="41" spans="1:8" x14ac:dyDescent="0.15">
      <c r="A41">
        <v>41</v>
      </c>
      <c r="C41">
        <f t="shared" si="4"/>
        <v>11.298274931463858</v>
      </c>
      <c r="D41">
        <f t="shared" si="5"/>
        <v>10.652940671185812</v>
      </c>
      <c r="E41">
        <v>41</v>
      </c>
      <c r="G41">
        <f t="shared" si="6"/>
        <v>10.67068466126404</v>
      </c>
      <c r="H41">
        <f t="shared" si="7"/>
        <v>11.304939436024563</v>
      </c>
    </row>
    <row r="42" spans="1:8" x14ac:dyDescent="0.15">
      <c r="A42">
        <v>42</v>
      </c>
      <c r="C42">
        <f t="shared" si="4"/>
        <v>11.380923133484236</v>
      </c>
      <c r="D42">
        <f t="shared" si="5"/>
        <v>10.733868928746469</v>
      </c>
      <c r="E42">
        <v>42</v>
      </c>
      <c r="G42">
        <f t="shared" si="6"/>
        <v>10.774973907084412</v>
      </c>
      <c r="H42">
        <f t="shared" si="7"/>
        <v>11.41082309005812</v>
      </c>
    </row>
    <row r="43" spans="1:8" x14ac:dyDescent="0.15">
      <c r="A43">
        <v>43</v>
      </c>
      <c r="C43">
        <f t="shared" si="4"/>
        <v>11.463571335504614</v>
      </c>
      <c r="D43">
        <f t="shared" si="5"/>
        <v>10.814737926717099</v>
      </c>
      <c r="E43">
        <v>43</v>
      </c>
      <c r="G43">
        <f t="shared" si="6"/>
        <v>10.879263152904784</v>
      </c>
      <c r="H43">
        <f t="shared" si="7"/>
        <v>11.516806175412482</v>
      </c>
    </row>
    <row r="44" spans="1:8" x14ac:dyDescent="0.15">
      <c r="A44">
        <v>44</v>
      </c>
      <c r="C44">
        <f t="shared" si="4"/>
        <v>11.546219537524991</v>
      </c>
      <c r="D44">
        <f t="shared" si="5"/>
        <v>10.895548151218028</v>
      </c>
      <c r="E44">
        <v>44</v>
      </c>
      <c r="G44">
        <f t="shared" si="6"/>
        <v>10.983552398725156</v>
      </c>
      <c r="H44">
        <f t="shared" si="7"/>
        <v>11.622887901795552</v>
      </c>
    </row>
    <row r="45" spans="1:8" x14ac:dyDescent="0.15">
      <c r="A45">
        <v>45</v>
      </c>
      <c r="C45">
        <f t="shared" si="4"/>
        <v>11.628867739545369</v>
      </c>
      <c r="D45">
        <f t="shared" si="5"/>
        <v>10.976300098861113</v>
      </c>
      <c r="E45">
        <v>45</v>
      </c>
      <c r="G45">
        <f t="shared" si="6"/>
        <v>11.087841644545527</v>
      </c>
      <c r="H45">
        <f t="shared" si="7"/>
        <v>11.729067441985409</v>
      </c>
    </row>
    <row r="46" spans="1:8" x14ac:dyDescent="0.15">
      <c r="A46">
        <v>46</v>
      </c>
      <c r="C46">
        <f t="shared" si="4"/>
        <v>11.711515941565747</v>
      </c>
      <c r="D46">
        <f t="shared" si="5"/>
        <v>11.056994276158406</v>
      </c>
      <c r="E46">
        <v>46</v>
      </c>
      <c r="G46">
        <f t="shared" si="6"/>
        <v>11.192130890365899</v>
      </c>
      <c r="H46">
        <f t="shared" si="7"/>
        <v>11.835343933607914</v>
      </c>
    </row>
    <row r="47" spans="1:8" x14ac:dyDescent="0.15">
      <c r="A47">
        <v>47</v>
      </c>
      <c r="C47">
        <f t="shared" si="4"/>
        <v>11.794164143586125</v>
      </c>
      <c r="D47">
        <f t="shared" si="5"/>
        <v>11.137631198931574</v>
      </c>
      <c r="E47">
        <v>47</v>
      </c>
      <c r="G47">
        <f t="shared" si="6"/>
        <v>11.296420136186272</v>
      </c>
      <c r="H47">
        <f t="shared" si="7"/>
        <v>11.94171648095277</v>
      </c>
    </row>
    <row r="48" spans="1:8" x14ac:dyDescent="0.15">
      <c r="A48">
        <v>48</v>
      </c>
      <c r="C48">
        <f t="shared" si="4"/>
        <v>11.876812345606503</v>
      </c>
      <c r="D48">
        <f t="shared" si="5"/>
        <v>11.21821139172339</v>
      </c>
      <c r="E48">
        <v>48</v>
      </c>
      <c r="G48">
        <f t="shared" si="6"/>
        <v>11.400709382006644</v>
      </c>
      <c r="H48">
        <f t="shared" si="7"/>
        <v>12.04818415681989</v>
      </c>
    </row>
    <row r="49" spans="1:8" x14ac:dyDescent="0.15">
      <c r="A49">
        <v>49</v>
      </c>
      <c r="C49">
        <f t="shared" si="4"/>
        <v>11.959460547626879</v>
      </c>
      <c r="D49">
        <f t="shared" si="5"/>
        <v>11.298735387212574</v>
      </c>
      <c r="E49">
        <v>49</v>
      </c>
      <c r="G49">
        <f t="shared" si="6"/>
        <v>11.504998627827016</v>
      </c>
      <c r="H49">
        <f t="shared" si="7"/>
        <v>12.154746004388112</v>
      </c>
    </row>
    <row r="50" spans="1:8" x14ac:dyDescent="0.15">
      <c r="A50">
        <v>50</v>
      </c>
      <c r="C50">
        <f t="shared" si="4"/>
        <v>12.042108749647259</v>
      </c>
      <c r="D50">
        <f t="shared" si="5"/>
        <v>11.379203725633209</v>
      </c>
      <c r="E50">
        <v>50</v>
      </c>
      <c r="G50">
        <f t="shared" si="6"/>
        <v>11.609287873647389</v>
      </c>
      <c r="H50">
        <f t="shared" si="7"/>
        <v>12.261401039098526</v>
      </c>
    </row>
    <row r="51" spans="1:8" x14ac:dyDescent="0.15">
      <c r="A51">
        <v>51</v>
      </c>
      <c r="C51">
        <f t="shared" si="4"/>
        <v>12.124756951667635</v>
      </c>
      <c r="D51">
        <f t="shared" si="5"/>
        <v>11.45961695419987</v>
      </c>
      <c r="E51">
        <v>51</v>
      </c>
      <c r="G51">
        <f t="shared" si="6"/>
        <v>11.713577119467761</v>
      </c>
      <c r="H51">
        <f t="shared" si="7"/>
        <v>12.368148250544808</v>
      </c>
    </row>
    <row r="52" spans="1:8" x14ac:dyDescent="0.15">
      <c r="A52">
        <v>52</v>
      </c>
      <c r="C52">
        <f t="shared" si="4"/>
        <v>12.207405153688013</v>
      </c>
      <c r="D52">
        <f t="shared" si="5"/>
        <v>11.539975626539594</v>
      </c>
      <c r="E52">
        <v>52</v>
      </c>
      <c r="G52">
        <f t="shared" si="6"/>
        <v>11.817866365288133</v>
      </c>
      <c r="H52">
        <f t="shared" si="7"/>
        <v>12.474986604363428</v>
      </c>
    </row>
    <row r="53" spans="1:8" x14ac:dyDescent="0.15">
      <c r="A53">
        <v>53</v>
      </c>
      <c r="C53">
        <f t="shared" si="4"/>
        <v>12.290053355708391</v>
      </c>
      <c r="D53">
        <f t="shared" si="5"/>
        <v>11.620280302131659</v>
      </c>
      <c r="E53">
        <v>53</v>
      </c>
      <c r="G53">
        <f t="shared" si="6"/>
        <v>11.922155611108504</v>
      </c>
      <c r="H53">
        <f t="shared" si="7"/>
        <v>12.581915044116757</v>
      </c>
    </row>
    <row r="54" spans="1:8" x14ac:dyDescent="0.15">
      <c r="A54">
        <v>54</v>
      </c>
      <c r="C54">
        <f t="shared" si="4"/>
        <v>12.372701557728767</v>
      </c>
      <c r="D54">
        <f t="shared" si="5"/>
        <v>11.700531545756178</v>
      </c>
      <c r="E54">
        <v>54</v>
      </c>
      <c r="G54">
        <f t="shared" si="6"/>
        <v>12.026444856928876</v>
      </c>
      <c r="H54">
        <f t="shared" si="7"/>
        <v>12.688932493162547</v>
      </c>
    </row>
    <row r="55" spans="1:8" x14ac:dyDescent="0.15">
      <c r="A55">
        <v>55</v>
      </c>
      <c r="C55">
        <f t="shared" si="4"/>
        <v>12.455349759749147</v>
      </c>
      <c r="D55">
        <f t="shared" si="5"/>
        <v>11.780729926952366</v>
      </c>
      <c r="E55">
        <v>55</v>
      </c>
      <c r="G55">
        <f t="shared" si="6"/>
        <v>12.130734102749248</v>
      </c>
      <c r="H55">
        <f t="shared" si="7"/>
        <v>12.796037856503643</v>
      </c>
    </row>
    <row r="56" spans="1:8" x14ac:dyDescent="0.15">
      <c r="A56">
        <v>56</v>
      </c>
      <c r="C56">
        <f t="shared" si="4"/>
        <v>12.537997961769523</v>
      </c>
      <c r="D56">
        <f t="shared" si="5"/>
        <v>11.860876019487282</v>
      </c>
      <c r="E56">
        <v>56</v>
      </c>
      <c r="G56">
        <f t="shared" si="6"/>
        <v>12.235023348569619</v>
      </c>
      <c r="H56">
        <f t="shared" si="7"/>
        <v>12.903230022612172</v>
      </c>
    </row>
    <row r="57" spans="1:8" x14ac:dyDescent="0.15">
      <c r="A57">
        <v>57</v>
      </c>
      <c r="C57">
        <f t="shared" si="4"/>
        <v>12.620646163789901</v>
      </c>
      <c r="D57">
        <f t="shared" si="5"/>
        <v>11.940970400835841</v>
      </c>
      <c r="E57">
        <v>57</v>
      </c>
      <c r="G57">
        <f t="shared" si="6"/>
        <v>12.339312594389991</v>
      </c>
      <c r="H57">
        <f t="shared" si="7"/>
        <v>13.010507865222882</v>
      </c>
    </row>
    <row r="58" spans="1:8" x14ac:dyDescent="0.15">
      <c r="A58">
        <v>58</v>
      </c>
      <c r="C58">
        <f t="shared" si="4"/>
        <v>12.703294365810279</v>
      </c>
      <c r="D58">
        <f t="shared" si="5"/>
        <v>12.021013651672696</v>
      </c>
      <c r="E58">
        <v>58</v>
      </c>
      <c r="G58">
        <f t="shared" si="6"/>
        <v>12.443601840210365</v>
      </c>
      <c r="H58">
        <f t="shared" si="7"/>
        <v>13.117870245090776</v>
      </c>
    </row>
    <row r="59" spans="1:8" x14ac:dyDescent="0.15">
      <c r="A59">
        <v>59</v>
      </c>
      <c r="C59">
        <f t="shared" si="4"/>
        <v>12.785942567830656</v>
      </c>
      <c r="D59">
        <f t="shared" si="5"/>
        <v>12.101006355376688</v>
      </c>
      <c r="E59">
        <v>59</v>
      </c>
      <c r="G59">
        <f t="shared" si="6"/>
        <v>12.547891086030736</v>
      </c>
      <c r="H59">
        <f t="shared" si="7"/>
        <v>13.225316011708571</v>
      </c>
    </row>
    <row r="60" spans="1:8" x14ac:dyDescent="0.15">
      <c r="A60">
        <v>60</v>
      </c>
      <c r="C60">
        <f t="shared" si="4"/>
        <v>12.868590769851036</v>
      </c>
      <c r="D60">
        <f t="shared" si="5"/>
        <v>12.180949097548318</v>
      </c>
      <c r="E60">
        <v>60</v>
      </c>
      <c r="G60">
        <f t="shared" si="6"/>
        <v>12.652180331851108</v>
      </c>
      <c r="H60">
        <f t="shared" si="7"/>
        <v>13.332844004980043</v>
      </c>
    </row>
    <row r="61" spans="1:8" x14ac:dyDescent="0.15">
      <c r="A61">
        <v>61</v>
      </c>
      <c r="C61">
        <f t="shared" si="4"/>
        <v>12.951238971871412</v>
      </c>
      <c r="D61">
        <f t="shared" si="5"/>
        <v>12.260842465540764</v>
      </c>
      <c r="E61">
        <v>61</v>
      </c>
      <c r="G61">
        <f t="shared" si="6"/>
        <v>12.756469577671481</v>
      </c>
      <c r="H61">
        <f t="shared" si="7"/>
        <v>13.440453056845675</v>
      </c>
    </row>
    <row r="62" spans="1:8" x14ac:dyDescent="0.15">
      <c r="A62">
        <v>62</v>
      </c>
      <c r="C62">
        <f t="shared" si="4"/>
        <v>13.03388717389179</v>
      </c>
      <c r="D62">
        <f t="shared" si="5"/>
        <v>12.34068704800487</v>
      </c>
      <c r="E62">
        <v>62</v>
      </c>
      <c r="G62">
        <f t="shared" si="6"/>
        <v>12.860758823491853</v>
      </c>
      <c r="H62">
        <f t="shared" si="7"/>
        <v>13.548141992857529</v>
      </c>
    </row>
    <row r="63" spans="1:8" x14ac:dyDescent="0.15">
      <c r="A63">
        <v>63</v>
      </c>
      <c r="C63">
        <f t="shared" si="4"/>
        <v>13.116535375912168</v>
      </c>
      <c r="D63">
        <f t="shared" si="5"/>
        <v>12.420483434448377</v>
      </c>
      <c r="E63">
        <v>63</v>
      </c>
      <c r="G63">
        <f t="shared" si="6"/>
        <v>12.965048069312225</v>
      </c>
      <c r="H63">
        <f t="shared" si="7"/>
        <v>13.65590963370069</v>
      </c>
    </row>
    <row r="64" spans="1:8" x14ac:dyDescent="0.15">
      <c r="A64">
        <v>64</v>
      </c>
      <c r="C64">
        <f t="shared" si="4"/>
        <v>13.199183577932544</v>
      </c>
      <c r="D64">
        <f t="shared" si="5"/>
        <v>12.500232214809774</v>
      </c>
      <c r="E64">
        <v>64</v>
      </c>
      <c r="G64">
        <f t="shared" si="6"/>
        <v>13.069337315132596</v>
      </c>
      <c r="H64">
        <f t="shared" si="7"/>
        <v>13.763754796658992</v>
      </c>
    </row>
    <row r="65" spans="1:8" x14ac:dyDescent="0.15">
      <c r="A65">
        <v>65</v>
      </c>
      <c r="C65">
        <f t="shared" ref="C65:C70" si="8">7.99234685064875+(A65-1)*0.0826482020203777</f>
        <v>13.281831779952924</v>
      </c>
      <c r="D65">
        <f t="shared" ref="D65:D70" si="9">0+1*C65-0.620689283568562*(1.00641025641026+(C65-9.12116225229538)^2/63.5552543338591)^0.5</f>
        <v>12.579933979046954</v>
      </c>
      <c r="E65">
        <v>65</v>
      </c>
      <c r="G65">
        <f t="shared" ref="G65:G70" si="10">6.49911482844916+(E65-1)*0.104289245820372</f>
        <v>13.173626560952968</v>
      </c>
      <c r="H65">
        <f t="shared" ref="H65:H70" si="11">0+1*G65+0.620689283568562*(1.00641025641026+(G65-9.12116225229538)^2/63.5552543338591)^0.5</f>
        <v>13.871676297023225</v>
      </c>
    </row>
    <row r="66" spans="1:8" x14ac:dyDescent="0.15">
      <c r="A66">
        <v>66</v>
      </c>
      <c r="C66">
        <f t="shared" si="8"/>
        <v>13.3644799819733</v>
      </c>
      <c r="D66">
        <f t="shared" si="9"/>
        <v>12.659589316740819</v>
      </c>
      <c r="E66">
        <v>66</v>
      </c>
      <c r="G66">
        <f t="shared" si="10"/>
        <v>13.27791580677334</v>
      </c>
      <c r="H66">
        <f t="shared" si="11"/>
        <v>13.97967294944034</v>
      </c>
    </row>
    <row r="67" spans="1:8" x14ac:dyDescent="0.15">
      <c r="A67">
        <v>67</v>
      </c>
      <c r="C67">
        <f t="shared" si="8"/>
        <v>13.447128183993678</v>
      </c>
      <c r="D67">
        <f t="shared" si="9"/>
        <v>12.739198816714051</v>
      </c>
      <c r="E67">
        <v>67</v>
      </c>
      <c r="G67">
        <f t="shared" si="10"/>
        <v>13.382205052593712</v>
      </c>
      <c r="H67">
        <f t="shared" si="11"/>
        <v>14.087743569202592</v>
      </c>
    </row>
    <row r="68" spans="1:8" x14ac:dyDescent="0.15">
      <c r="A68">
        <v>68</v>
      </c>
      <c r="C68">
        <f t="shared" si="8"/>
        <v>13.529776386014056</v>
      </c>
      <c r="D68">
        <f t="shared" si="9"/>
        <v>12.818763066664992</v>
      </c>
      <c r="E68">
        <v>68</v>
      </c>
      <c r="G68">
        <f t="shared" si="10"/>
        <v>13.486494298414083</v>
      </c>
      <c r="H68">
        <f t="shared" si="11"/>
        <v>14.19588697347584</v>
      </c>
    </row>
    <row r="69" spans="1:8" x14ac:dyDescent="0.15">
      <c r="A69">
        <v>69</v>
      </c>
      <c r="C69">
        <f t="shared" si="8"/>
        <v>13.612424588034433</v>
      </c>
      <c r="D69">
        <f t="shared" si="9"/>
        <v>12.898282652816786</v>
      </c>
      <c r="E69">
        <v>69</v>
      </c>
      <c r="G69">
        <f t="shared" si="10"/>
        <v>13.590783544234455</v>
      </c>
      <c r="H69">
        <f t="shared" si="11"/>
        <v>14.304101982466637</v>
      </c>
    </row>
    <row r="70" spans="1:8" x14ac:dyDescent="0.15">
      <c r="A70">
        <v>70</v>
      </c>
      <c r="C70">
        <f t="shared" si="8"/>
        <v>13.695072790054812</v>
      </c>
      <c r="D70">
        <f t="shared" si="9"/>
        <v>12.977758159581663</v>
      </c>
      <c r="E70">
        <v>70</v>
      </c>
      <c r="G70">
        <f t="shared" si="10"/>
        <v>13.695072790054828</v>
      </c>
      <c r="H70">
        <f t="shared" si="11"/>
        <v>14.412387420527978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XLSTAT_20211101_192102_1">
    <tabColor rgb="FF007800"/>
  </sheetPr>
  <dimension ref="B1:M314"/>
  <sheetViews>
    <sheetView topLeftCell="A34" zoomScaleNormal="100" workbookViewId="0">
      <selection activeCell="L51" sqref="L51"/>
    </sheetView>
  </sheetViews>
  <sheetFormatPr baseColWidth="10" defaultRowHeight="13" x14ac:dyDescent="0.15"/>
  <cols>
    <col min="1" max="1" width="5.83203125" customWidth="1"/>
  </cols>
  <sheetData>
    <row r="1" spans="2:9" x14ac:dyDescent="0.15">
      <c r="B1" t="s">
        <v>421</v>
      </c>
    </row>
    <row r="2" spans="2:9" x14ac:dyDescent="0.15">
      <c r="B2" t="s">
        <v>411</v>
      </c>
    </row>
    <row r="3" spans="2:9" x14ac:dyDescent="0.15">
      <c r="B3" t="s">
        <v>182</v>
      </c>
    </row>
    <row r="4" spans="2:9" x14ac:dyDescent="0.15">
      <c r="B4" t="s">
        <v>183</v>
      </c>
    </row>
    <row r="5" spans="2:9" x14ac:dyDescent="0.15">
      <c r="B5" t="s">
        <v>184</v>
      </c>
    </row>
    <row r="6" spans="2:9" ht="34.25" customHeight="1" x14ac:dyDescent="0.15"/>
    <row r="7" spans="2:9" ht="21" customHeight="1" x14ac:dyDescent="0.15">
      <c r="B7" s="4"/>
    </row>
    <row r="10" spans="2:9" x14ac:dyDescent="0.15">
      <c r="B10" s="4" t="s">
        <v>185</v>
      </c>
    </row>
    <row r="11" spans="2:9" ht="14" thickBot="1" x14ac:dyDescent="0.2"/>
    <row r="12" spans="2:9" ht="28" x14ac:dyDescent="0.15">
      <c r="B12" s="10" t="s">
        <v>186</v>
      </c>
      <c r="C12" s="11" t="s">
        <v>187</v>
      </c>
      <c r="D12" s="11" t="s">
        <v>188</v>
      </c>
      <c r="E12" s="11" t="s">
        <v>189</v>
      </c>
      <c r="F12" s="11" t="s">
        <v>190</v>
      </c>
      <c r="G12" s="11" t="s">
        <v>191</v>
      </c>
      <c r="H12" s="11" t="s">
        <v>192</v>
      </c>
      <c r="I12" s="11" t="s">
        <v>193</v>
      </c>
    </row>
    <row r="13" spans="2:9" x14ac:dyDescent="0.15">
      <c r="B13" s="12" t="s">
        <v>173</v>
      </c>
      <c r="C13" s="14">
        <v>156</v>
      </c>
      <c r="D13" s="14">
        <v>0</v>
      </c>
      <c r="E13" s="14">
        <v>156</v>
      </c>
      <c r="F13" s="17">
        <v>9.2904446162178438</v>
      </c>
      <c r="G13" s="17">
        <v>11.953937880865364</v>
      </c>
      <c r="H13" s="17">
        <v>10.268943514636922</v>
      </c>
      <c r="I13" s="17">
        <v>0.61753210921742785</v>
      </c>
    </row>
    <row r="14" spans="2:9" x14ac:dyDescent="0.15">
      <c r="B14" s="9" t="s">
        <v>169</v>
      </c>
      <c r="C14" s="15">
        <v>156</v>
      </c>
      <c r="D14" s="15">
        <v>0</v>
      </c>
      <c r="E14" s="15">
        <v>156</v>
      </c>
      <c r="F14" s="18">
        <v>1.2697605448639391</v>
      </c>
      <c r="G14" s="18">
        <v>1.7900914121273581</v>
      </c>
      <c r="H14" s="18">
        <v>1.6815474706308642</v>
      </c>
      <c r="I14" s="18">
        <v>0.10972903254880841</v>
      </c>
    </row>
    <row r="15" spans="2:9" x14ac:dyDescent="0.15">
      <c r="B15" s="9" t="s">
        <v>172</v>
      </c>
      <c r="C15" s="15">
        <v>156</v>
      </c>
      <c r="D15" s="15">
        <v>0</v>
      </c>
      <c r="E15" s="15">
        <v>156</v>
      </c>
      <c r="F15" s="18">
        <v>0.95551144502743635</v>
      </c>
      <c r="G15" s="18">
        <v>1.8389610707123492</v>
      </c>
      <c r="H15" s="18">
        <v>1.6373149418496353</v>
      </c>
      <c r="I15" s="18">
        <v>0.16067138311417037</v>
      </c>
    </row>
    <row r="16" spans="2:9" x14ac:dyDescent="0.15">
      <c r="B16" s="9" t="s">
        <v>174</v>
      </c>
      <c r="C16" s="15">
        <v>156</v>
      </c>
      <c r="D16" s="15">
        <v>0</v>
      </c>
      <c r="E16" s="15">
        <v>156</v>
      </c>
      <c r="F16" s="18">
        <v>0.51282362642866375</v>
      </c>
      <c r="G16" s="18">
        <v>1.2697605448639391</v>
      </c>
      <c r="H16" s="18">
        <v>0.98958105793969375</v>
      </c>
      <c r="I16" s="18">
        <v>0.13885612952641049</v>
      </c>
    </row>
    <row r="17" spans="2:9" x14ac:dyDescent="0.15">
      <c r="B17" s="9" t="s">
        <v>176</v>
      </c>
      <c r="C17" s="15">
        <v>156</v>
      </c>
      <c r="D17" s="15">
        <v>0</v>
      </c>
      <c r="E17" s="15">
        <v>156</v>
      </c>
      <c r="F17" s="18">
        <v>0.79750719588418817</v>
      </c>
      <c r="G17" s="18">
        <v>1.4906543764441336</v>
      </c>
      <c r="H17" s="18">
        <v>1.3504303899660413</v>
      </c>
      <c r="I17" s="18">
        <v>0.16707255202732604</v>
      </c>
    </row>
    <row r="18" spans="2:9" x14ac:dyDescent="0.15">
      <c r="B18" s="9" t="s">
        <v>178</v>
      </c>
      <c r="C18" s="15">
        <v>156</v>
      </c>
      <c r="D18" s="15">
        <v>0</v>
      </c>
      <c r="E18" s="15">
        <v>156</v>
      </c>
      <c r="F18" s="18">
        <v>0.86710048768338333</v>
      </c>
      <c r="G18" s="18">
        <v>1.6074359097634274</v>
      </c>
      <c r="H18" s="18">
        <v>1.3893426950776187</v>
      </c>
      <c r="I18" s="18">
        <v>0.14655049570642012</v>
      </c>
    </row>
    <row r="19" spans="2:9" ht="14" thickBot="1" x14ac:dyDescent="0.2">
      <c r="B19" s="13" t="s">
        <v>180</v>
      </c>
      <c r="C19" s="16">
        <v>156</v>
      </c>
      <c r="D19" s="16">
        <v>0</v>
      </c>
      <c r="E19" s="16">
        <v>156</v>
      </c>
      <c r="F19" s="19">
        <v>0.62593843086649537</v>
      </c>
      <c r="G19" s="19">
        <v>1.0986122886681098</v>
      </c>
      <c r="H19" s="19">
        <v>0.95585774489534447</v>
      </c>
      <c r="I19" s="19">
        <v>0.12442606208269026</v>
      </c>
    </row>
    <row r="22" spans="2:9" x14ac:dyDescent="0.15">
      <c r="B22" s="4" t="s">
        <v>194</v>
      </c>
    </row>
    <row r="23" spans="2:9" ht="14" thickBot="1" x14ac:dyDescent="0.2"/>
    <row r="24" spans="2:9" ht="28" x14ac:dyDescent="0.15">
      <c r="B24" s="10"/>
      <c r="C24" s="11" t="s">
        <v>169</v>
      </c>
      <c r="D24" s="11" t="s">
        <v>172</v>
      </c>
      <c r="E24" s="11" t="s">
        <v>174</v>
      </c>
      <c r="F24" s="11" t="s">
        <v>176</v>
      </c>
      <c r="G24" s="11" t="s">
        <v>178</v>
      </c>
      <c r="H24" s="11" t="s">
        <v>180</v>
      </c>
      <c r="I24" s="20" t="s">
        <v>173</v>
      </c>
    </row>
    <row r="25" spans="2:9" x14ac:dyDescent="0.15">
      <c r="B25" s="21" t="s">
        <v>169</v>
      </c>
      <c r="C25" s="27">
        <v>1</v>
      </c>
      <c r="D25" s="23">
        <v>-1.5875315508602807E-2</v>
      </c>
      <c r="E25" s="23">
        <v>0.30280790412706204</v>
      </c>
      <c r="F25" s="23">
        <v>0.11528187100139364</v>
      </c>
      <c r="G25" s="23">
        <v>0.10593256600628163</v>
      </c>
      <c r="H25" s="23">
        <v>0.26312060057623965</v>
      </c>
      <c r="I25" s="24">
        <v>-0.20358095300392512</v>
      </c>
    </row>
    <row r="26" spans="2:9" x14ac:dyDescent="0.15">
      <c r="B26" s="9" t="s">
        <v>172</v>
      </c>
      <c r="C26" s="18">
        <v>-1.5875315508602807E-2</v>
      </c>
      <c r="D26" s="2">
        <v>1</v>
      </c>
      <c r="E26" s="18">
        <v>2.5661954373896949E-2</v>
      </c>
      <c r="F26" s="18">
        <v>2.690850432760741E-2</v>
      </c>
      <c r="G26" s="18">
        <v>7.7924085921378214E-2</v>
      </c>
      <c r="H26" s="18">
        <v>0.20281919970093448</v>
      </c>
      <c r="I26" s="25">
        <v>-1.0295821977824696E-2</v>
      </c>
    </row>
    <row r="27" spans="2:9" x14ac:dyDescent="0.15">
      <c r="B27" s="9" t="s">
        <v>174</v>
      </c>
      <c r="C27" s="18">
        <v>0.30280790412706204</v>
      </c>
      <c r="D27" s="18">
        <v>2.5661954373896949E-2</v>
      </c>
      <c r="E27" s="2">
        <v>1</v>
      </c>
      <c r="F27" s="18">
        <v>-6.9728324283180224E-2</v>
      </c>
      <c r="G27" s="18">
        <v>-6.9512189983491582E-2</v>
      </c>
      <c r="H27" s="18">
        <v>0.19184387522268667</v>
      </c>
      <c r="I27" s="25">
        <v>-0.9281711639339042</v>
      </c>
    </row>
    <row r="28" spans="2:9" x14ac:dyDescent="0.15">
      <c r="B28" s="9" t="s">
        <v>176</v>
      </c>
      <c r="C28" s="18">
        <v>0.11528187100139364</v>
      </c>
      <c r="D28" s="18">
        <v>2.690850432760741E-2</v>
      </c>
      <c r="E28" s="18">
        <v>-6.9728324283180224E-2</v>
      </c>
      <c r="F28" s="2">
        <v>1</v>
      </c>
      <c r="G28" s="18">
        <v>5.8766758472414372E-4</v>
      </c>
      <c r="H28" s="18">
        <v>-2.5518683079415367E-2</v>
      </c>
      <c r="I28" s="25">
        <v>0.14035843297085576</v>
      </c>
    </row>
    <row r="29" spans="2:9" x14ac:dyDescent="0.15">
      <c r="B29" s="9" t="s">
        <v>178</v>
      </c>
      <c r="C29" s="18">
        <v>0.10593256600628163</v>
      </c>
      <c r="D29" s="18">
        <v>7.7924085921378214E-2</v>
      </c>
      <c r="E29" s="18">
        <v>-6.9512189983491582E-2</v>
      </c>
      <c r="F29" s="18">
        <v>5.8766758472414372E-4</v>
      </c>
      <c r="G29" s="2">
        <v>1</v>
      </c>
      <c r="H29" s="18">
        <v>4.2788420832566912E-2</v>
      </c>
      <c r="I29" s="25">
        <v>0.16092779932805892</v>
      </c>
    </row>
    <row r="30" spans="2:9" x14ac:dyDescent="0.15">
      <c r="B30" s="9" t="s">
        <v>180</v>
      </c>
      <c r="C30" s="18">
        <v>0.26312060057623965</v>
      </c>
      <c r="D30" s="18">
        <v>0.20281919970093448</v>
      </c>
      <c r="E30" s="18">
        <v>0.19184387522268667</v>
      </c>
      <c r="F30" s="18">
        <v>-2.5518683079415367E-2</v>
      </c>
      <c r="G30" s="18">
        <v>4.2788420832566912E-2</v>
      </c>
      <c r="H30" s="2">
        <v>1</v>
      </c>
      <c r="I30" s="25">
        <v>-5.4962930447186455E-2</v>
      </c>
    </row>
    <row r="31" spans="2:9" ht="14" thickBot="1" x14ac:dyDescent="0.2">
      <c r="B31" s="22" t="s">
        <v>173</v>
      </c>
      <c r="C31" s="26">
        <v>-0.20358095300392512</v>
      </c>
      <c r="D31" s="26">
        <v>-1.0295821977824696E-2</v>
      </c>
      <c r="E31" s="26">
        <v>-0.9281711639339042</v>
      </c>
      <c r="F31" s="26">
        <v>0.14035843297085576</v>
      </c>
      <c r="G31" s="26">
        <v>0.16092779932805892</v>
      </c>
      <c r="H31" s="26">
        <v>-5.4962930447186455E-2</v>
      </c>
      <c r="I31" s="28">
        <v>1</v>
      </c>
    </row>
    <row r="34" spans="2:3" x14ac:dyDescent="0.15">
      <c r="B34" s="8" t="s">
        <v>412</v>
      </c>
    </row>
    <row r="36" spans="2:3" x14ac:dyDescent="0.15">
      <c r="B36" s="4" t="s">
        <v>413</v>
      </c>
    </row>
    <row r="37" spans="2:3" ht="14" thickBot="1" x14ac:dyDescent="0.2"/>
    <row r="38" spans="2:3" x14ac:dyDescent="0.15">
      <c r="B38" s="29" t="s">
        <v>187</v>
      </c>
      <c r="C38" s="30">
        <v>156</v>
      </c>
    </row>
    <row r="39" spans="2:3" x14ac:dyDescent="0.15">
      <c r="B39" s="9" t="s">
        <v>197</v>
      </c>
      <c r="C39" s="15">
        <v>156</v>
      </c>
    </row>
    <row r="40" spans="2:3" x14ac:dyDescent="0.15">
      <c r="B40" s="9" t="s">
        <v>198</v>
      </c>
      <c r="C40" s="15">
        <v>149</v>
      </c>
    </row>
    <row r="41" spans="2:3" x14ac:dyDescent="0.15">
      <c r="B41" s="9" t="s">
        <v>199</v>
      </c>
      <c r="C41" s="18">
        <v>0.89271243010457146</v>
      </c>
    </row>
    <row r="42" spans="2:3" x14ac:dyDescent="0.15">
      <c r="B42" s="9" t="s">
        <v>200</v>
      </c>
      <c r="C42" s="18">
        <v>0.88839212527656763</v>
      </c>
    </row>
    <row r="43" spans="2:3" x14ac:dyDescent="0.15">
      <c r="B43" s="9" t="s">
        <v>201</v>
      </c>
      <c r="C43" s="18">
        <v>4.2561206093602158E-2</v>
      </c>
    </row>
    <row r="44" spans="2:3" x14ac:dyDescent="0.15">
      <c r="B44" s="9" t="s">
        <v>202</v>
      </c>
      <c r="C44" s="18">
        <v>0.20630367445492132</v>
      </c>
    </row>
    <row r="45" spans="2:3" x14ac:dyDescent="0.15">
      <c r="B45" s="9" t="s">
        <v>203</v>
      </c>
      <c r="C45" s="18">
        <v>1.4849873897002674</v>
      </c>
    </row>
    <row r="46" spans="2:3" x14ac:dyDescent="0.15">
      <c r="B46" s="9" t="s">
        <v>204</v>
      </c>
      <c r="C46" s="18">
        <v>1.6369739357616859</v>
      </c>
    </row>
    <row r="47" spans="2:3" x14ac:dyDescent="0.15">
      <c r="B47" s="9" t="s">
        <v>205</v>
      </c>
      <c r="C47" s="18">
        <v>7</v>
      </c>
    </row>
    <row r="48" spans="2:3" x14ac:dyDescent="0.15">
      <c r="B48" s="9" t="s">
        <v>206</v>
      </c>
      <c r="C48" s="18">
        <v>-485.62460033026753</v>
      </c>
    </row>
    <row r="49" spans="2:8" x14ac:dyDescent="0.15">
      <c r="B49" s="9" t="s">
        <v>207</v>
      </c>
      <c r="C49" s="18">
        <v>-464.27560827952078</v>
      </c>
    </row>
    <row r="50" spans="2:8" ht="14" thickBot="1" x14ac:dyDescent="0.2">
      <c r="B50" s="13" t="s">
        <v>208</v>
      </c>
      <c r="C50" s="19">
        <v>0.11736828116077082</v>
      </c>
    </row>
    <row r="53" spans="2:8" x14ac:dyDescent="0.15">
      <c r="B53" s="4" t="s">
        <v>414</v>
      </c>
    </row>
    <row r="54" spans="2:8" ht="14" thickBot="1" x14ac:dyDescent="0.2"/>
    <row r="55" spans="2:8" ht="28" x14ac:dyDescent="0.15">
      <c r="B55" s="10" t="s">
        <v>210</v>
      </c>
      <c r="C55" s="11" t="s">
        <v>198</v>
      </c>
      <c r="D55" s="11" t="s">
        <v>211</v>
      </c>
      <c r="E55" s="11" t="s">
        <v>212</v>
      </c>
      <c r="F55" s="11" t="s">
        <v>213</v>
      </c>
      <c r="G55" s="11" t="s">
        <v>214</v>
      </c>
    </row>
    <row r="56" spans="2:8" x14ac:dyDescent="0.15">
      <c r="B56" s="21" t="s">
        <v>215</v>
      </c>
      <c r="C56" s="31">
        <v>6</v>
      </c>
      <c r="D56" s="23">
        <v>52.766995708804686</v>
      </c>
      <c r="E56" s="23">
        <v>8.7944992848007804</v>
      </c>
      <c r="F56" s="23">
        <v>206.63181549553826</v>
      </c>
      <c r="G56" s="35">
        <v>1.3782090016717026E-69</v>
      </c>
    </row>
    <row r="57" spans="2:8" x14ac:dyDescent="0.15">
      <c r="B57" s="9" t="s">
        <v>216</v>
      </c>
      <c r="C57" s="15">
        <v>149</v>
      </c>
      <c r="D57" s="18">
        <v>6.3416197079467214</v>
      </c>
      <c r="E57" s="18">
        <v>4.2561206093602158E-2</v>
      </c>
      <c r="F57" s="18"/>
      <c r="G57" s="36"/>
    </row>
    <row r="58" spans="2:8" ht="14" thickBot="1" x14ac:dyDescent="0.2">
      <c r="B58" s="13" t="s">
        <v>217</v>
      </c>
      <c r="C58" s="16">
        <v>155</v>
      </c>
      <c r="D58" s="19">
        <v>59.108615416751405</v>
      </c>
      <c r="E58" s="19"/>
      <c r="F58" s="19"/>
      <c r="G58" s="37"/>
    </row>
    <row r="59" spans="2:8" x14ac:dyDescent="0.15">
      <c r="B59" s="38" t="s">
        <v>218</v>
      </c>
    </row>
    <row r="62" spans="2:8" x14ac:dyDescent="0.15">
      <c r="B62" s="4" t="s">
        <v>415</v>
      </c>
    </row>
    <row r="63" spans="2:8" ht="14" thickBot="1" x14ac:dyDescent="0.2"/>
    <row r="64" spans="2:8" ht="26" customHeight="1" x14ac:dyDescent="0.15">
      <c r="B64" s="41" t="s">
        <v>210</v>
      </c>
      <c r="C64" s="42" t="s">
        <v>220</v>
      </c>
      <c r="D64" s="42" t="s">
        <v>221</v>
      </c>
      <c r="E64" s="42" t="s">
        <v>222</v>
      </c>
      <c r="F64" s="42" t="s">
        <v>223</v>
      </c>
      <c r="G64" s="42" t="s">
        <v>224</v>
      </c>
      <c r="H64" s="42" t="s">
        <v>225</v>
      </c>
    </row>
    <row r="65" spans="2:8" x14ac:dyDescent="0.15">
      <c r="B65" s="43" t="s">
        <v>226</v>
      </c>
      <c r="C65" s="44">
        <v>12.790750686151588</v>
      </c>
      <c r="D65" s="44">
        <v>0.35147817668455217</v>
      </c>
      <c r="E65" s="44">
        <v>36.391308293462409</v>
      </c>
      <c r="F65" s="45">
        <v>5.029567935932921E-76</v>
      </c>
      <c r="G65" s="44">
        <v>12.096225177352744</v>
      </c>
      <c r="H65" s="44">
        <v>13.485276194950432</v>
      </c>
    </row>
    <row r="66" spans="2:8" x14ac:dyDescent="0.15">
      <c r="B66" s="46" t="s">
        <v>169</v>
      </c>
      <c r="C66" s="47">
        <v>0.19362245829237754</v>
      </c>
      <c r="D66" s="47">
        <v>0.16622181559142188</v>
      </c>
      <c r="E66" s="47">
        <v>1.1648438419678151</v>
      </c>
      <c r="F66" s="49">
        <v>0.24594375382714295</v>
      </c>
      <c r="G66" s="47">
        <v>-0.13483403973569416</v>
      </c>
      <c r="H66" s="47">
        <v>0.52207895632044921</v>
      </c>
    </row>
    <row r="67" spans="2:8" x14ac:dyDescent="0.15">
      <c r="B67" s="46" t="s">
        <v>172</v>
      </c>
      <c r="C67" s="47">
        <v>-7.1243868228936136E-2</v>
      </c>
      <c r="D67" s="47">
        <v>0.10605521573273249</v>
      </c>
      <c r="E67" s="47">
        <v>-0.67176204146787366</v>
      </c>
      <c r="F67" s="49">
        <v>0.50277542067559033</v>
      </c>
      <c r="G67" s="47">
        <v>-0.28081037207948523</v>
      </c>
      <c r="H67" s="47">
        <v>0.13832263562161293</v>
      </c>
    </row>
    <row r="68" spans="2:8" x14ac:dyDescent="0.15">
      <c r="B68" s="46" t="s">
        <v>174</v>
      </c>
      <c r="C68" s="47">
        <v>-4.2246392802461532</v>
      </c>
      <c r="D68" s="47">
        <v>0.12767390028986703</v>
      </c>
      <c r="E68" s="47">
        <v>-33.089294449802644</v>
      </c>
      <c r="F68" s="48">
        <v>0</v>
      </c>
      <c r="G68" s="47">
        <v>-4.4769245896659058</v>
      </c>
      <c r="H68" s="47">
        <v>-3.9723539708264006</v>
      </c>
    </row>
    <row r="69" spans="2:8" x14ac:dyDescent="0.15">
      <c r="B69" s="46" t="s">
        <v>176</v>
      </c>
      <c r="C69" s="47">
        <v>0.27228832164849659</v>
      </c>
      <c r="D69" s="47">
        <v>0.10069692052317651</v>
      </c>
      <c r="E69" s="47">
        <v>2.7040382191809571</v>
      </c>
      <c r="F69" s="48">
        <v>7.6473098957827723E-3</v>
      </c>
      <c r="G69" s="47">
        <v>7.3309879741979E-2</v>
      </c>
      <c r="H69" s="47">
        <v>0.47126676355501418</v>
      </c>
    </row>
    <row r="70" spans="2:8" x14ac:dyDescent="0.15">
      <c r="B70" s="46" t="s">
        <v>178</v>
      </c>
      <c r="C70" s="47">
        <v>0.36875835209762575</v>
      </c>
      <c r="D70" s="47">
        <v>0.11482326723050866</v>
      </c>
      <c r="E70" s="47">
        <v>3.2115298666544674</v>
      </c>
      <c r="F70" s="48">
        <v>1.6177873111187235E-3</v>
      </c>
      <c r="G70" s="47">
        <v>0.14186606294481358</v>
      </c>
      <c r="H70" s="47">
        <v>0.59565064125043787</v>
      </c>
    </row>
    <row r="71" spans="2:8" ht="14" thickBot="1" x14ac:dyDescent="0.2">
      <c r="B71" s="50" t="s">
        <v>180</v>
      </c>
      <c r="C71" s="51">
        <v>0.59615668516882758</v>
      </c>
      <c r="D71" s="51">
        <v>0.14253904402134748</v>
      </c>
      <c r="E71" s="51">
        <v>4.1824097338518955</v>
      </c>
      <c r="F71" s="53">
        <v>4.9043215781807703E-5</v>
      </c>
      <c r="G71" s="51">
        <v>0.31449765584742573</v>
      </c>
      <c r="H71" s="51">
        <v>0.87781571449022944</v>
      </c>
    </row>
    <row r="74" spans="2:8" x14ac:dyDescent="0.15">
      <c r="B74" s="4" t="s">
        <v>416</v>
      </c>
    </row>
    <row r="76" spans="2:8" x14ac:dyDescent="0.15">
      <c r="B76" t="s">
        <v>417</v>
      </c>
    </row>
    <row r="79" spans="2:8" x14ac:dyDescent="0.15">
      <c r="B79" s="4" t="s">
        <v>418</v>
      </c>
    </row>
    <row r="80" spans="2:8" ht="14" thickBot="1" x14ac:dyDescent="0.2"/>
    <row r="81" spans="2:8" ht="26" customHeight="1" x14ac:dyDescent="0.15">
      <c r="B81" s="10" t="s">
        <v>210</v>
      </c>
      <c r="C81" s="11" t="s">
        <v>220</v>
      </c>
      <c r="D81" s="11" t="s">
        <v>221</v>
      </c>
      <c r="E81" s="11" t="s">
        <v>222</v>
      </c>
      <c r="F81" s="11" t="s">
        <v>223</v>
      </c>
      <c r="G81" s="11" t="s">
        <v>224</v>
      </c>
      <c r="H81" s="11" t="s">
        <v>225</v>
      </c>
    </row>
    <row r="82" spans="2:8" x14ac:dyDescent="0.15">
      <c r="B82" s="21" t="s">
        <v>169</v>
      </c>
      <c r="C82" s="23">
        <v>3.4404696874902184E-2</v>
      </c>
      <c r="D82" s="23">
        <v>2.9535887674678366E-2</v>
      </c>
      <c r="E82" s="23">
        <v>1.1648438419678151</v>
      </c>
      <c r="F82" s="32">
        <v>0.24594375382714295</v>
      </c>
      <c r="G82" s="23">
        <v>-2.395860638500992E-2</v>
      </c>
      <c r="H82" s="23">
        <v>9.2768000134814288E-2</v>
      </c>
    </row>
    <row r="83" spans="2:8" x14ac:dyDescent="0.15">
      <c r="B83" s="9" t="s">
        <v>172</v>
      </c>
      <c r="C83" s="18">
        <v>-1.8536446406411118E-2</v>
      </c>
      <c r="D83" s="18">
        <v>2.7593768718915633E-2</v>
      </c>
      <c r="E83" s="18">
        <v>-0.67176204146787366</v>
      </c>
      <c r="F83" s="33">
        <v>0.50277542067559033</v>
      </c>
      <c r="G83" s="18">
        <v>-7.3062097017096095E-2</v>
      </c>
      <c r="H83" s="18">
        <v>3.5989204204273866E-2</v>
      </c>
    </row>
    <row r="84" spans="2:8" x14ac:dyDescent="0.15">
      <c r="B84" s="9" t="s">
        <v>174</v>
      </c>
      <c r="C84" s="18">
        <v>-0.94993774468442826</v>
      </c>
      <c r="D84" s="18">
        <v>2.8708310663000374E-2</v>
      </c>
      <c r="E84" s="18">
        <v>-33.089294449802644</v>
      </c>
      <c r="F84" s="36">
        <v>0</v>
      </c>
      <c r="G84" s="18">
        <v>-1.006665744863712</v>
      </c>
      <c r="H84" s="18">
        <v>-0.89320974450514456</v>
      </c>
    </row>
    <row r="85" spans="2:8" x14ac:dyDescent="0.15">
      <c r="B85" s="9" t="s">
        <v>176</v>
      </c>
      <c r="C85" s="18">
        <v>7.3667270261787196E-2</v>
      </c>
      <c r="D85" s="18">
        <v>2.7243427899514207E-2</v>
      </c>
      <c r="E85" s="18">
        <v>2.7040382191809571</v>
      </c>
      <c r="F85" s="36">
        <v>7.6473098957827723E-3</v>
      </c>
      <c r="G85" s="18">
        <v>1.9833897726921859E-2</v>
      </c>
      <c r="H85" s="18">
        <v>0.12750064279665252</v>
      </c>
    </row>
    <row r="86" spans="2:8" x14ac:dyDescent="0.15">
      <c r="B86" s="9" t="s">
        <v>178</v>
      </c>
      <c r="C86" s="18">
        <v>8.7512403791074819E-2</v>
      </c>
      <c r="D86" s="18">
        <v>2.7249444166695145E-2</v>
      </c>
      <c r="E86" s="18">
        <v>3.2115298666544678</v>
      </c>
      <c r="F86" s="36">
        <v>1.6177873111187235E-3</v>
      </c>
      <c r="G86" s="18">
        <v>3.3667143032979449E-2</v>
      </c>
      <c r="H86" s="18">
        <v>0.1413576645491702</v>
      </c>
    </row>
    <row r="87" spans="2:8" ht="14" thickBot="1" x14ac:dyDescent="0.2">
      <c r="B87" s="13" t="s">
        <v>180</v>
      </c>
      <c r="C87" s="19">
        <v>0.12011914459610737</v>
      </c>
      <c r="D87" s="19">
        <v>2.8720080585093847E-2</v>
      </c>
      <c r="E87" s="19">
        <v>4.1824097338518964</v>
      </c>
      <c r="F87" s="37">
        <v>4.9043215781807703E-5</v>
      </c>
      <c r="G87" s="19">
        <v>6.3367886895666525E-2</v>
      </c>
      <c r="H87" s="19">
        <v>0.17687040229654821</v>
      </c>
    </row>
    <row r="109" spans="2:6" x14ac:dyDescent="0.15">
      <c r="F109" t="s">
        <v>230</v>
      </c>
    </row>
    <row r="112" spans="2:6" x14ac:dyDescent="0.15">
      <c r="B112" s="4" t="s">
        <v>419</v>
      </c>
    </row>
    <row r="113" spans="2:13" ht="14" thickBot="1" x14ac:dyDescent="0.2"/>
    <row r="114" spans="2:13" ht="56" x14ac:dyDescent="0.15">
      <c r="B114" s="10" t="s">
        <v>232</v>
      </c>
      <c r="C114" s="11" t="s">
        <v>233</v>
      </c>
      <c r="D114" s="11" t="s">
        <v>173</v>
      </c>
      <c r="E114" s="11" t="s">
        <v>420</v>
      </c>
      <c r="F114" s="11" t="s">
        <v>391</v>
      </c>
      <c r="G114" s="11" t="s">
        <v>392</v>
      </c>
      <c r="H114" s="11" t="s">
        <v>393</v>
      </c>
      <c r="I114" s="11" t="s">
        <v>394</v>
      </c>
      <c r="J114" s="11" t="s">
        <v>395</v>
      </c>
      <c r="K114" s="11" t="s">
        <v>396</v>
      </c>
      <c r="L114" s="11" t="s">
        <v>397</v>
      </c>
      <c r="M114" s="11" t="s">
        <v>398</v>
      </c>
    </row>
    <row r="115" spans="2:13" x14ac:dyDescent="0.15">
      <c r="B115" s="21" t="s">
        <v>234</v>
      </c>
      <c r="C115" s="31">
        <v>1</v>
      </c>
      <c r="D115" s="23">
        <v>10.513660649802818</v>
      </c>
      <c r="E115" s="23">
        <v>10.489384765061777</v>
      </c>
      <c r="F115" s="23">
        <v>2.4275884741040699E-2</v>
      </c>
      <c r="G115" s="23">
        <v>0.11767063676970589</v>
      </c>
      <c r="H115" s="23">
        <v>2.6292664209442412E-2</v>
      </c>
      <c r="I115" s="23">
        <v>10.437430114107363</v>
      </c>
      <c r="J115" s="23">
        <v>10.541339416016191</v>
      </c>
      <c r="K115" s="23">
        <v>0.20797237865839938</v>
      </c>
      <c r="L115" s="23">
        <v>10.078428604237414</v>
      </c>
      <c r="M115" s="23">
        <v>10.900340925886139</v>
      </c>
    </row>
    <row r="116" spans="2:13" x14ac:dyDescent="0.15">
      <c r="B116" s="9" t="s">
        <v>235</v>
      </c>
      <c r="C116" s="15">
        <v>1</v>
      </c>
      <c r="D116" s="18">
        <v>10.275706066850656</v>
      </c>
      <c r="E116" s="18">
        <v>10.501804133081638</v>
      </c>
      <c r="F116" s="18">
        <v>-0.22609806623098194</v>
      </c>
      <c r="G116" s="18">
        <v>-1.095947839166509</v>
      </c>
      <c r="H116" s="18">
        <v>2.5457686342922906E-2</v>
      </c>
      <c r="I116" s="18">
        <v>10.451499409394545</v>
      </c>
      <c r="J116" s="18">
        <v>10.552108856768731</v>
      </c>
      <c r="K116" s="18">
        <v>0.20786846775674467</v>
      </c>
      <c r="L116" s="18">
        <v>10.09105330156825</v>
      </c>
      <c r="M116" s="18">
        <v>10.912554964595026</v>
      </c>
    </row>
    <row r="117" spans="2:13" x14ac:dyDescent="0.15">
      <c r="B117" s="9" t="s">
        <v>236</v>
      </c>
      <c r="C117" s="15">
        <v>1</v>
      </c>
      <c r="D117" s="18">
        <v>11.287203592641218</v>
      </c>
      <c r="E117" s="18">
        <v>11.466575040880732</v>
      </c>
      <c r="F117" s="18">
        <v>-0.17937144823951456</v>
      </c>
      <c r="G117" s="18">
        <v>-0.86945348265577493</v>
      </c>
      <c r="H117" s="18">
        <v>4.1762526718060126E-2</v>
      </c>
      <c r="I117" s="18">
        <v>11.384051737752248</v>
      </c>
      <c r="J117" s="18">
        <v>11.549098344009217</v>
      </c>
      <c r="K117" s="18">
        <v>0.21048827694548417</v>
      </c>
      <c r="L117" s="18">
        <v>11.050647431887365</v>
      </c>
      <c r="M117" s="18">
        <v>11.8825026498741</v>
      </c>
    </row>
    <row r="118" spans="2:13" x14ac:dyDescent="0.15">
      <c r="B118" s="9" t="s">
        <v>237</v>
      </c>
      <c r="C118" s="15">
        <v>1</v>
      </c>
      <c r="D118" s="18">
        <v>10.375832189483837</v>
      </c>
      <c r="E118" s="18">
        <v>10.440872305030982</v>
      </c>
      <c r="F118" s="18">
        <v>-6.504011554714495E-2</v>
      </c>
      <c r="G118" s="18">
        <v>-0.31526397054724603</v>
      </c>
      <c r="H118" s="18">
        <v>3.2591443186035185E-2</v>
      </c>
      <c r="I118" s="18">
        <v>10.376471183815468</v>
      </c>
      <c r="J118" s="18">
        <v>10.505273426246497</v>
      </c>
      <c r="K118" s="18">
        <v>0.20886217527965834</v>
      </c>
      <c r="L118" s="18">
        <v>10.028157894357548</v>
      </c>
      <c r="M118" s="18">
        <v>10.853586715704417</v>
      </c>
    </row>
    <row r="119" spans="2:13" x14ac:dyDescent="0.15">
      <c r="B119" s="9" t="s">
        <v>238</v>
      </c>
      <c r="C119" s="15">
        <v>1</v>
      </c>
      <c r="D119" s="18">
        <v>10.519807682982748</v>
      </c>
      <c r="E119" s="18">
        <v>10.785417402789367</v>
      </c>
      <c r="F119" s="18">
        <v>-0.26560971980661918</v>
      </c>
      <c r="G119" s="18">
        <v>-1.2874696512720456</v>
      </c>
      <c r="H119" s="18">
        <v>2.9096757071681096E-2</v>
      </c>
      <c r="I119" s="18">
        <v>10.727921827387704</v>
      </c>
      <c r="J119" s="18">
        <v>10.842912978191031</v>
      </c>
      <c r="K119" s="18">
        <v>0.20834545199185556</v>
      </c>
      <c r="L119" s="18">
        <v>10.37372404414185</v>
      </c>
      <c r="M119" s="18">
        <v>11.197110761436884</v>
      </c>
    </row>
    <row r="120" spans="2:13" x14ac:dyDescent="0.15">
      <c r="B120" s="9" t="s">
        <v>239</v>
      </c>
      <c r="C120" s="15">
        <v>1</v>
      </c>
      <c r="D120" s="18">
        <v>10.381831306056865</v>
      </c>
      <c r="E120" s="18">
        <v>10.522595346964197</v>
      </c>
      <c r="F120" s="18">
        <v>-0.14076404090733163</v>
      </c>
      <c r="G120" s="18">
        <v>-0.68231475410821874</v>
      </c>
      <c r="H120" s="18">
        <v>3.7346134470585733E-2</v>
      </c>
      <c r="I120" s="18">
        <v>10.448798893114567</v>
      </c>
      <c r="J120" s="18">
        <v>10.596391800813826</v>
      </c>
      <c r="K120" s="18">
        <v>0.20965671907548594</v>
      </c>
      <c r="L120" s="18">
        <v>10.108310907279957</v>
      </c>
      <c r="M120" s="18">
        <v>10.936879786648436</v>
      </c>
    </row>
    <row r="121" spans="2:13" x14ac:dyDescent="0.15">
      <c r="B121" s="9" t="s">
        <v>240</v>
      </c>
      <c r="C121" s="15">
        <v>1</v>
      </c>
      <c r="D121" s="18">
        <v>10.33432796697552</v>
      </c>
      <c r="E121" s="18">
        <v>10.279510913182881</v>
      </c>
      <c r="F121" s="18">
        <v>5.481705379263957E-2</v>
      </c>
      <c r="G121" s="18">
        <v>0.26571050630810478</v>
      </c>
      <c r="H121" s="18">
        <v>6.7233370389598063E-2</v>
      </c>
      <c r="I121" s="18">
        <v>10.146656887312577</v>
      </c>
      <c r="J121" s="18">
        <v>10.412364939053184</v>
      </c>
      <c r="K121" s="18">
        <v>0.21698279237660079</v>
      </c>
      <c r="L121" s="18">
        <v>9.8507500561149204</v>
      </c>
      <c r="M121" s="18">
        <v>10.708271770250841</v>
      </c>
    </row>
    <row r="122" spans="2:13" x14ac:dyDescent="0.15">
      <c r="B122" s="9" t="s">
        <v>241</v>
      </c>
      <c r="C122" s="15">
        <v>1</v>
      </c>
      <c r="D122" s="18">
        <v>11.223241389847775</v>
      </c>
      <c r="E122" s="18">
        <v>10.962215766561787</v>
      </c>
      <c r="F122" s="18">
        <v>0.26102562328598822</v>
      </c>
      <c r="G122" s="18">
        <v>1.2652495113121409</v>
      </c>
      <c r="H122" s="18">
        <v>3.5576942917096767E-2</v>
      </c>
      <c r="I122" s="18">
        <v>10.891915258535708</v>
      </c>
      <c r="J122" s="18">
        <v>11.032516274587866</v>
      </c>
      <c r="K122" s="18">
        <v>0.20934881170173505</v>
      </c>
      <c r="L122" s="18">
        <v>10.548539755905587</v>
      </c>
      <c r="M122" s="18">
        <v>11.375891777217987</v>
      </c>
    </row>
    <row r="123" spans="2:13" x14ac:dyDescent="0.15">
      <c r="B123" s="9" t="s">
        <v>242</v>
      </c>
      <c r="C123" s="15">
        <v>1</v>
      </c>
      <c r="D123" s="18">
        <v>10.4052623407817</v>
      </c>
      <c r="E123" s="18">
        <v>10.464967559023645</v>
      </c>
      <c r="F123" s="18">
        <v>-5.9705218241944635E-2</v>
      </c>
      <c r="G123" s="18">
        <v>-0.28940453144953854</v>
      </c>
      <c r="H123" s="18">
        <v>3.4183821031829091E-2</v>
      </c>
      <c r="I123" s="18">
        <v>10.397419878200981</v>
      </c>
      <c r="J123" s="18">
        <v>10.532515239846308</v>
      </c>
      <c r="K123" s="18">
        <v>0.2091165696781063</v>
      </c>
      <c r="L123" s="18">
        <v>10.051750461666547</v>
      </c>
      <c r="M123" s="18">
        <v>10.878184656380743</v>
      </c>
    </row>
    <row r="124" spans="2:13" x14ac:dyDescent="0.15">
      <c r="B124" s="9" t="s">
        <v>243</v>
      </c>
      <c r="C124" s="15">
        <v>1</v>
      </c>
      <c r="D124" s="18">
        <v>10.234624151353531</v>
      </c>
      <c r="E124" s="18">
        <v>10.508736446796249</v>
      </c>
      <c r="F124" s="18">
        <v>-0.27411229544271798</v>
      </c>
      <c r="G124" s="18">
        <v>-1.3286835349246933</v>
      </c>
      <c r="H124" s="18">
        <v>2.4003379872946852E-2</v>
      </c>
      <c r="I124" s="18">
        <v>10.461305451858227</v>
      </c>
      <c r="J124" s="18">
        <v>10.556167441734271</v>
      </c>
      <c r="K124" s="18">
        <v>0.20769537389871529</v>
      </c>
      <c r="L124" s="18">
        <v>10.098327651027304</v>
      </c>
      <c r="M124" s="18">
        <v>10.919145242565193</v>
      </c>
    </row>
    <row r="125" spans="2:13" x14ac:dyDescent="0.15">
      <c r="B125" s="9" t="s">
        <v>244</v>
      </c>
      <c r="C125" s="15">
        <v>1</v>
      </c>
      <c r="D125" s="18">
        <v>9.9622751940192167</v>
      </c>
      <c r="E125" s="18">
        <v>10.193609483197166</v>
      </c>
      <c r="F125" s="18">
        <v>-0.23133428917794951</v>
      </c>
      <c r="G125" s="18">
        <v>-1.1213289816052092</v>
      </c>
      <c r="H125" s="18">
        <v>7.4983756376395497E-2</v>
      </c>
      <c r="I125" s="18">
        <v>10.045440592484773</v>
      </c>
      <c r="J125" s="18">
        <v>10.341778373909559</v>
      </c>
      <c r="K125" s="18">
        <v>0.21950801765292491</v>
      </c>
      <c r="L125" s="18">
        <v>9.7598587477065557</v>
      </c>
      <c r="M125" s="18">
        <v>10.627360218687777</v>
      </c>
    </row>
    <row r="126" spans="2:13" x14ac:dyDescent="0.15">
      <c r="B126" s="9" t="s">
        <v>245</v>
      </c>
      <c r="C126" s="15">
        <v>1</v>
      </c>
      <c r="D126" s="18">
        <v>10.258956769878603</v>
      </c>
      <c r="E126" s="18">
        <v>10.379944845546934</v>
      </c>
      <c r="F126" s="18">
        <v>-0.12098807566833081</v>
      </c>
      <c r="G126" s="18">
        <v>-0.58645623248347656</v>
      </c>
      <c r="H126" s="18">
        <v>4.2562104788483213E-2</v>
      </c>
      <c r="I126" s="18">
        <v>10.295841565614703</v>
      </c>
      <c r="J126" s="18">
        <v>10.464048125479165</v>
      </c>
      <c r="K126" s="18">
        <v>0.21064837729645103</v>
      </c>
      <c r="L126" s="18">
        <v>9.9637008761503019</v>
      </c>
      <c r="M126" s="18">
        <v>10.796188814943566</v>
      </c>
    </row>
    <row r="127" spans="2:13" x14ac:dyDescent="0.15">
      <c r="B127" s="9" t="s">
        <v>246</v>
      </c>
      <c r="C127" s="15">
        <v>1</v>
      </c>
      <c r="D127" s="18">
        <v>10.355836246543143</v>
      </c>
      <c r="E127" s="18">
        <v>10.526935695240674</v>
      </c>
      <c r="F127" s="18">
        <v>-0.17109944869753058</v>
      </c>
      <c r="G127" s="18">
        <v>-0.82935725284387463</v>
      </c>
      <c r="H127" s="18">
        <v>2.5551509219169422E-2</v>
      </c>
      <c r="I127" s="18">
        <v>10.476445576313749</v>
      </c>
      <c r="J127" s="18">
        <v>10.577425814167599</v>
      </c>
      <c r="K127" s="18">
        <v>0.20787997911530456</v>
      </c>
      <c r="L127" s="18">
        <v>10.116162117131079</v>
      </c>
      <c r="M127" s="18">
        <v>10.937709273350269</v>
      </c>
    </row>
    <row r="128" spans="2:13" x14ac:dyDescent="0.15">
      <c r="B128" s="9" t="s">
        <v>247</v>
      </c>
      <c r="C128" s="15">
        <v>1</v>
      </c>
      <c r="D128" s="18">
        <v>11.03455089697473</v>
      </c>
      <c r="E128" s="18">
        <v>11.003301979531997</v>
      </c>
      <c r="F128" s="18">
        <v>3.124891744273306E-2</v>
      </c>
      <c r="G128" s="18">
        <v>0.15147048410696703</v>
      </c>
      <c r="H128" s="18">
        <v>3.2774784025330829E-2</v>
      </c>
      <c r="I128" s="18">
        <v>10.938538574402026</v>
      </c>
      <c r="J128" s="18">
        <v>11.068065384661969</v>
      </c>
      <c r="K128" s="18">
        <v>0.20889086280043279</v>
      </c>
      <c r="L128" s="18">
        <v>10.590530881939477</v>
      </c>
      <c r="M128" s="18">
        <v>11.416073077124517</v>
      </c>
    </row>
    <row r="129" spans="2:13" x14ac:dyDescent="0.15">
      <c r="B129" s="9" t="s">
        <v>248</v>
      </c>
      <c r="C129" s="15">
        <v>1</v>
      </c>
      <c r="D129" s="18">
        <v>10.223176883622889</v>
      </c>
      <c r="E129" s="18">
        <v>10.501627304076091</v>
      </c>
      <c r="F129" s="18">
        <v>-0.27845042045320234</v>
      </c>
      <c r="G129" s="18">
        <v>-1.3497113960228835</v>
      </c>
      <c r="H129" s="18">
        <v>2.5312840173501938E-2</v>
      </c>
      <c r="I129" s="18">
        <v>10.451608798328511</v>
      </c>
      <c r="J129" s="18">
        <v>10.551645809823672</v>
      </c>
      <c r="K129" s="18">
        <v>0.207850778134823</v>
      </c>
      <c r="L129" s="18">
        <v>10.090911427488729</v>
      </c>
      <c r="M129" s="18">
        <v>10.912343180663454</v>
      </c>
    </row>
    <row r="130" spans="2:13" x14ac:dyDescent="0.15">
      <c r="B130" s="9" t="s">
        <v>249</v>
      </c>
      <c r="C130" s="15">
        <v>1</v>
      </c>
      <c r="D130" s="18">
        <v>10.573877745973457</v>
      </c>
      <c r="E130" s="18">
        <v>10.789876432118875</v>
      </c>
      <c r="F130" s="18">
        <v>-0.21599868614541862</v>
      </c>
      <c r="G130" s="18">
        <v>-1.0469938876082197</v>
      </c>
      <c r="H130" s="18">
        <v>3.6726291353121672E-2</v>
      </c>
      <c r="I130" s="18">
        <v>10.717304796437455</v>
      </c>
      <c r="J130" s="18">
        <v>10.862448067800296</v>
      </c>
      <c r="K130" s="18">
        <v>0.20954719413572814</v>
      </c>
      <c r="L130" s="18">
        <v>10.375808415158883</v>
      </c>
      <c r="M130" s="18">
        <v>11.203944449078868</v>
      </c>
    </row>
    <row r="131" spans="2:13" x14ac:dyDescent="0.15">
      <c r="B131" s="9" t="s">
        <v>250</v>
      </c>
      <c r="C131" s="15">
        <v>1</v>
      </c>
      <c r="D131" s="18">
        <v>10.214055728774611</v>
      </c>
      <c r="E131" s="18">
        <v>10.550719269672697</v>
      </c>
      <c r="F131" s="18">
        <v>-0.33666354089808692</v>
      </c>
      <c r="G131" s="18">
        <v>-1.6318833961033015</v>
      </c>
      <c r="H131" s="18">
        <v>2.1388481359023107E-2</v>
      </c>
      <c r="I131" s="18">
        <v>10.508455348656508</v>
      </c>
      <c r="J131" s="18">
        <v>10.592983190688887</v>
      </c>
      <c r="K131" s="18">
        <v>0.20740943379809762</v>
      </c>
      <c r="L131" s="18">
        <v>10.140875495310603</v>
      </c>
      <c r="M131" s="18">
        <v>10.960563044034792</v>
      </c>
    </row>
    <row r="132" spans="2:13" x14ac:dyDescent="0.15">
      <c r="B132" s="9" t="s">
        <v>251</v>
      </c>
      <c r="C132" s="15">
        <v>1</v>
      </c>
      <c r="D132" s="18">
        <v>10.238065138296543</v>
      </c>
      <c r="E132" s="18">
        <v>10.418372322930377</v>
      </c>
      <c r="F132" s="18">
        <v>-0.18030718463383444</v>
      </c>
      <c r="G132" s="18">
        <v>-0.87398920601015628</v>
      </c>
      <c r="H132" s="18">
        <v>3.907984262256553E-2</v>
      </c>
      <c r="I132" s="18">
        <v>10.341150038926168</v>
      </c>
      <c r="J132" s="18">
        <v>10.495594606934587</v>
      </c>
      <c r="K132" s="18">
        <v>0.20997247484612511</v>
      </c>
      <c r="L132" s="18">
        <v>10.003463945682423</v>
      </c>
      <c r="M132" s="18">
        <v>10.833280700178332</v>
      </c>
    </row>
    <row r="133" spans="2:13" x14ac:dyDescent="0.15">
      <c r="B133" s="9" t="s">
        <v>252</v>
      </c>
      <c r="C133" s="15">
        <v>1</v>
      </c>
      <c r="D133" s="18">
        <v>10.172025031140222</v>
      </c>
      <c r="E133" s="18">
        <v>10.468311109344789</v>
      </c>
      <c r="F133" s="18">
        <v>-0.29628607820456665</v>
      </c>
      <c r="G133" s="18">
        <v>-1.4361648137745946</v>
      </c>
      <c r="H133" s="18">
        <v>3.1833390285096429E-2</v>
      </c>
      <c r="I133" s="18">
        <v>10.405407910650915</v>
      </c>
      <c r="J133" s="18">
        <v>10.531214308038663</v>
      </c>
      <c r="K133" s="18">
        <v>0.20874522947997021</v>
      </c>
      <c r="L133" s="18">
        <v>10.055827785112614</v>
      </c>
      <c r="M133" s="18">
        <v>10.880794433576964</v>
      </c>
    </row>
    <row r="134" spans="2:13" x14ac:dyDescent="0.15">
      <c r="B134" s="9" t="s">
        <v>253</v>
      </c>
      <c r="C134" s="15">
        <v>1</v>
      </c>
      <c r="D134" s="18">
        <v>10.263118124300494</v>
      </c>
      <c r="E134" s="18">
        <v>10.468622940922977</v>
      </c>
      <c r="F134" s="18">
        <v>-0.20550481662248288</v>
      </c>
      <c r="G134" s="18">
        <v>-0.99612775761484074</v>
      </c>
      <c r="H134" s="18">
        <v>3.326785338044877E-2</v>
      </c>
      <c r="I134" s="18">
        <v>10.402885224249777</v>
      </c>
      <c r="J134" s="18">
        <v>10.534360657596176</v>
      </c>
      <c r="K134" s="18">
        <v>0.20896879231632937</v>
      </c>
      <c r="L134" s="18">
        <v>10.055697853580115</v>
      </c>
      <c r="M134" s="18">
        <v>10.881548028265838</v>
      </c>
    </row>
    <row r="135" spans="2:13" x14ac:dyDescent="0.15">
      <c r="B135" s="9" t="s">
        <v>254</v>
      </c>
      <c r="C135" s="15">
        <v>1</v>
      </c>
      <c r="D135" s="18">
        <v>10.429871515217972</v>
      </c>
      <c r="E135" s="18">
        <v>10.459603300454853</v>
      </c>
      <c r="F135" s="18">
        <v>-2.9731785236881692E-2</v>
      </c>
      <c r="G135" s="18">
        <v>-0.14411660536554466</v>
      </c>
      <c r="H135" s="18">
        <v>3.6456849349677814E-2</v>
      </c>
      <c r="I135" s="18">
        <v>10.387564085722861</v>
      </c>
      <c r="J135" s="18">
        <v>10.531642515186846</v>
      </c>
      <c r="K135" s="18">
        <v>0.20950013832479267</v>
      </c>
      <c r="L135" s="18">
        <v>10.045628266397355</v>
      </c>
      <c r="M135" s="18">
        <v>10.873578334512352</v>
      </c>
    </row>
    <row r="136" spans="2:13" x14ac:dyDescent="0.15">
      <c r="B136" s="9" t="s">
        <v>255</v>
      </c>
      <c r="C136" s="15">
        <v>1</v>
      </c>
      <c r="D136" s="18">
        <v>10.492356964389485</v>
      </c>
      <c r="E136" s="18">
        <v>10.549796219498379</v>
      </c>
      <c r="F136" s="18">
        <v>-5.7439255108894471E-2</v>
      </c>
      <c r="G136" s="18">
        <v>-0.27842090190907054</v>
      </c>
      <c r="H136" s="18">
        <v>2.1382012340142167E-2</v>
      </c>
      <c r="I136" s="18">
        <v>10.507545081348745</v>
      </c>
      <c r="J136" s="18">
        <v>10.592047357648013</v>
      </c>
      <c r="K136" s="18">
        <v>0.20740876679956455</v>
      </c>
      <c r="L136" s="18">
        <v>10.139953763134177</v>
      </c>
      <c r="M136" s="18">
        <v>10.959638675862582</v>
      </c>
    </row>
    <row r="137" spans="2:13" x14ac:dyDescent="0.15">
      <c r="B137" s="9" t="s">
        <v>256</v>
      </c>
      <c r="C137" s="15">
        <v>1</v>
      </c>
      <c r="D137" s="18">
        <v>10.241101993736118</v>
      </c>
      <c r="E137" s="18">
        <v>10.455048019740786</v>
      </c>
      <c r="F137" s="18">
        <v>-0.21394602600466861</v>
      </c>
      <c r="G137" s="18">
        <v>-1.037044185325052</v>
      </c>
      <c r="H137" s="18">
        <v>5.4385657872161104E-2</v>
      </c>
      <c r="I137" s="18">
        <v>10.347581243108101</v>
      </c>
      <c r="J137" s="18">
        <v>10.562514796373472</v>
      </c>
      <c r="K137" s="18">
        <v>0.21335183588567949</v>
      </c>
      <c r="L137" s="18">
        <v>10.033461980546504</v>
      </c>
      <c r="M137" s="18">
        <v>10.876634058935069</v>
      </c>
    </row>
    <row r="138" spans="2:13" x14ac:dyDescent="0.15">
      <c r="B138" s="9" t="s">
        <v>257</v>
      </c>
      <c r="C138" s="15">
        <v>1</v>
      </c>
      <c r="D138" s="18">
        <v>10.947027485325746</v>
      </c>
      <c r="E138" s="18">
        <v>11.066899657479443</v>
      </c>
      <c r="F138" s="18">
        <v>-0.11987217215369661</v>
      </c>
      <c r="G138" s="18">
        <v>-0.58104719884613332</v>
      </c>
      <c r="H138" s="18">
        <v>3.8125027339512285E-2</v>
      </c>
      <c r="I138" s="18">
        <v>10.991564101056806</v>
      </c>
      <c r="J138" s="18">
        <v>11.142235213902079</v>
      </c>
      <c r="K138" s="18">
        <v>0.20979686318732393</v>
      </c>
      <c r="L138" s="18">
        <v>10.652338291183435</v>
      </c>
      <c r="M138" s="18">
        <v>11.48146102377545</v>
      </c>
    </row>
    <row r="139" spans="2:13" x14ac:dyDescent="0.15">
      <c r="B139" s="9" t="s">
        <v>258</v>
      </c>
      <c r="C139" s="15">
        <v>1</v>
      </c>
      <c r="D139" s="18">
        <v>10.312712251185442</v>
      </c>
      <c r="E139" s="18">
        <v>10.582990956444853</v>
      </c>
      <c r="F139" s="18">
        <v>-0.27027870525941111</v>
      </c>
      <c r="G139" s="18">
        <v>-1.3101012668510117</v>
      </c>
      <c r="H139" s="18">
        <v>3.3284530343038722E-2</v>
      </c>
      <c r="I139" s="18">
        <v>10.517220285873812</v>
      </c>
      <c r="J139" s="18">
        <v>10.648761627015894</v>
      </c>
      <c r="K139" s="18">
        <v>0.20897144793908765</v>
      </c>
      <c r="L139" s="18">
        <v>10.170060621556425</v>
      </c>
      <c r="M139" s="18">
        <v>10.99592129133328</v>
      </c>
    </row>
    <row r="140" spans="2:13" x14ac:dyDescent="0.15">
      <c r="B140" s="9" t="s">
        <v>259</v>
      </c>
      <c r="C140" s="15">
        <v>1</v>
      </c>
      <c r="D140" s="18">
        <v>10.198132825539048</v>
      </c>
      <c r="E140" s="18">
        <v>10.481471858172235</v>
      </c>
      <c r="F140" s="18">
        <v>-0.2833390326331866</v>
      </c>
      <c r="G140" s="18">
        <v>-1.3734075914149459</v>
      </c>
      <c r="H140" s="18">
        <v>3.390903450897563E-2</v>
      </c>
      <c r="I140" s="18">
        <v>10.414467159139781</v>
      </c>
      <c r="J140" s="18">
        <v>10.548476557204689</v>
      </c>
      <c r="K140" s="18">
        <v>0.20907182668865992</v>
      </c>
      <c r="L140" s="18">
        <v>10.068343173551893</v>
      </c>
      <c r="M140" s="18">
        <v>10.894600542792576</v>
      </c>
    </row>
    <row r="141" spans="2:13" x14ac:dyDescent="0.15">
      <c r="B141" s="9" t="s">
        <v>260</v>
      </c>
      <c r="C141" s="15">
        <v>1</v>
      </c>
      <c r="D141" s="18">
        <v>9.7097207480574319</v>
      </c>
      <c r="E141" s="18">
        <v>9.9133123504342855</v>
      </c>
      <c r="F141" s="18">
        <v>-0.20359160237685359</v>
      </c>
      <c r="G141" s="18">
        <v>-0.98685398073866915</v>
      </c>
      <c r="H141" s="18">
        <v>3.059041103707701E-2</v>
      </c>
      <c r="I141" s="18">
        <v>9.8528652951140927</v>
      </c>
      <c r="J141" s="18">
        <v>9.9737594057544783</v>
      </c>
      <c r="K141" s="18">
        <v>0.20855929454478764</v>
      </c>
      <c r="L141" s="18">
        <v>9.5011964360842249</v>
      </c>
      <c r="M141" s="18">
        <v>10.325428264784346</v>
      </c>
    </row>
    <row r="142" spans="2:13" x14ac:dyDescent="0.15">
      <c r="B142" s="9" t="s">
        <v>261</v>
      </c>
      <c r="C142" s="15">
        <v>1</v>
      </c>
      <c r="D142" s="18">
        <v>10.980995366872817</v>
      </c>
      <c r="E142" s="18">
        <v>11.031269030399194</v>
      </c>
      <c r="F142" s="18">
        <v>-5.0273663526377632E-2</v>
      </c>
      <c r="G142" s="18">
        <v>-0.24368767865723473</v>
      </c>
      <c r="H142" s="18">
        <v>2.9557804724503704E-2</v>
      </c>
      <c r="I142" s="18">
        <v>10.972862418760011</v>
      </c>
      <c r="J142" s="18">
        <v>11.089675642038378</v>
      </c>
      <c r="K142" s="18">
        <v>0.2084103402274802</v>
      </c>
      <c r="L142" s="18">
        <v>10.619447451743007</v>
      </c>
      <c r="M142" s="18">
        <v>11.443090609055382</v>
      </c>
    </row>
    <row r="143" spans="2:13" x14ac:dyDescent="0.15">
      <c r="B143" s="9" t="s">
        <v>262</v>
      </c>
      <c r="C143" s="15">
        <v>1</v>
      </c>
      <c r="D143" s="18">
        <v>9.9608126191553978</v>
      </c>
      <c r="E143" s="18">
        <v>9.8755176050368547</v>
      </c>
      <c r="F143" s="18">
        <v>8.5295014118543122E-2</v>
      </c>
      <c r="G143" s="18">
        <v>0.41344398903171564</v>
      </c>
      <c r="H143" s="18">
        <v>3.0470259483690663E-2</v>
      </c>
      <c r="I143" s="18">
        <v>9.8153079707694726</v>
      </c>
      <c r="J143" s="18">
        <v>9.9357272393042368</v>
      </c>
      <c r="K143" s="18">
        <v>0.20854170519731921</v>
      </c>
      <c r="L143" s="18">
        <v>9.4634364474691779</v>
      </c>
      <c r="M143" s="18">
        <v>10.287598762604532</v>
      </c>
    </row>
    <row r="144" spans="2:13" x14ac:dyDescent="0.15">
      <c r="B144" s="9" t="s">
        <v>263</v>
      </c>
      <c r="C144" s="15">
        <v>1</v>
      </c>
      <c r="D144" s="18">
        <v>9.8806794132101192</v>
      </c>
      <c r="E144" s="18">
        <v>9.7056362694954075</v>
      </c>
      <c r="F144" s="18">
        <v>0.17504314371471175</v>
      </c>
      <c r="G144" s="18">
        <v>0.84847322364565936</v>
      </c>
      <c r="H144" s="18">
        <v>3.6180248623416969E-2</v>
      </c>
      <c r="I144" s="18">
        <v>9.6341436214434637</v>
      </c>
      <c r="J144" s="18">
        <v>9.7771289175473513</v>
      </c>
      <c r="K144" s="18">
        <v>0.20945218185555964</v>
      </c>
      <c r="L144" s="18">
        <v>9.2917559980530697</v>
      </c>
      <c r="M144" s="18">
        <v>10.119516540937745</v>
      </c>
    </row>
    <row r="145" spans="2:13" x14ac:dyDescent="0.15">
      <c r="B145" s="9" t="s">
        <v>264</v>
      </c>
      <c r="C145" s="15">
        <v>1</v>
      </c>
      <c r="D145" s="18">
        <v>10.83168709223442</v>
      </c>
      <c r="E145" s="18">
        <v>11.031556965453817</v>
      </c>
      <c r="F145" s="18">
        <v>-0.19986987321939687</v>
      </c>
      <c r="G145" s="18">
        <v>-0.96881392804794531</v>
      </c>
      <c r="H145" s="18">
        <v>3.8455106598524927E-2</v>
      </c>
      <c r="I145" s="18">
        <v>10.955569168065688</v>
      </c>
      <c r="J145" s="18">
        <v>11.107544762841945</v>
      </c>
      <c r="K145" s="18">
        <v>0.2098570973712971</v>
      </c>
      <c r="L145" s="18">
        <v>10.61687657561653</v>
      </c>
      <c r="M145" s="18">
        <v>11.446237355291103</v>
      </c>
    </row>
    <row r="146" spans="2:13" x14ac:dyDescent="0.15">
      <c r="B146" s="9" t="s">
        <v>265</v>
      </c>
      <c r="C146" s="15">
        <v>1</v>
      </c>
      <c r="D146" s="18">
        <v>9.8840498586436532</v>
      </c>
      <c r="E146" s="18">
        <v>9.8864660468765457</v>
      </c>
      <c r="F146" s="18">
        <v>-2.4161882328925799E-3</v>
      </c>
      <c r="G146" s="18">
        <v>-1.171180416091199E-2</v>
      </c>
      <c r="H146" s="18">
        <v>4.4970836144299184E-2</v>
      </c>
      <c r="I146" s="18">
        <v>9.7976030820437092</v>
      </c>
      <c r="J146" s="18">
        <v>9.9753290117093822</v>
      </c>
      <c r="K146" s="18">
        <v>0.21114824696672138</v>
      </c>
      <c r="L146" s="18">
        <v>9.4692343284243332</v>
      </c>
      <c r="M146" s="18">
        <v>10.303697765328758</v>
      </c>
    </row>
    <row r="147" spans="2:13" x14ac:dyDescent="0.15">
      <c r="B147" s="9" t="s">
        <v>266</v>
      </c>
      <c r="C147" s="15">
        <v>1</v>
      </c>
      <c r="D147" s="18">
        <v>10.074453207791757</v>
      </c>
      <c r="E147" s="18">
        <v>9.8608014722510759</v>
      </c>
      <c r="F147" s="18">
        <v>0.21365173554068129</v>
      </c>
      <c r="G147" s="18">
        <v>1.0356176936992247</v>
      </c>
      <c r="H147" s="18">
        <v>4.3009559989513467E-2</v>
      </c>
      <c r="I147" s="18">
        <v>9.7758140149451833</v>
      </c>
      <c r="J147" s="18">
        <v>9.9457889295569686</v>
      </c>
      <c r="K147" s="18">
        <v>0.2107392425346872</v>
      </c>
      <c r="L147" s="18">
        <v>9.4443779519462971</v>
      </c>
      <c r="M147" s="18">
        <v>10.277224992555855</v>
      </c>
    </row>
    <row r="148" spans="2:13" x14ac:dyDescent="0.15">
      <c r="B148" s="9" t="s">
        <v>267</v>
      </c>
      <c r="C148" s="15">
        <v>1</v>
      </c>
      <c r="D148" s="18">
        <v>11.704066350238913</v>
      </c>
      <c r="E148" s="18">
        <v>11.56186332700619</v>
      </c>
      <c r="F148" s="18">
        <v>0.14220302323272271</v>
      </c>
      <c r="G148" s="18">
        <v>0.68928982291973184</v>
      </c>
      <c r="H148" s="18">
        <v>4.2195268062019245E-2</v>
      </c>
      <c r="I148" s="18">
        <v>11.478484921279513</v>
      </c>
      <c r="J148" s="18">
        <v>11.645241732732867</v>
      </c>
      <c r="K148" s="18">
        <v>0.21057456337465791</v>
      </c>
      <c r="L148" s="18">
        <v>11.145765214891719</v>
      </c>
      <c r="M148" s="18">
        <v>11.97796143912066</v>
      </c>
    </row>
    <row r="149" spans="2:13" x14ac:dyDescent="0.15">
      <c r="B149" s="9" t="s">
        <v>268</v>
      </c>
      <c r="C149" s="15">
        <v>1</v>
      </c>
      <c r="D149" s="18">
        <v>10.027473532317119</v>
      </c>
      <c r="E149" s="18">
        <v>9.9576942755586053</v>
      </c>
      <c r="F149" s="18">
        <v>6.9779256758513597E-2</v>
      </c>
      <c r="G149" s="18">
        <v>0.33823564676139983</v>
      </c>
      <c r="H149" s="18">
        <v>3.000805354390846E-2</v>
      </c>
      <c r="I149" s="18">
        <v>9.89839796631904</v>
      </c>
      <c r="J149" s="18">
        <v>10.016990584798171</v>
      </c>
      <c r="K149" s="18">
        <v>0.20847467321259011</v>
      </c>
      <c r="L149" s="18">
        <v>9.5457455740760793</v>
      </c>
      <c r="M149" s="18">
        <v>10.369642977041131</v>
      </c>
    </row>
    <row r="150" spans="2:13" x14ac:dyDescent="0.15">
      <c r="B150" s="9" t="s">
        <v>269</v>
      </c>
      <c r="C150" s="15">
        <v>1</v>
      </c>
      <c r="D150" s="18">
        <v>9.8452226444041528</v>
      </c>
      <c r="E150" s="18">
        <v>9.7329781351003781</v>
      </c>
      <c r="F150" s="18">
        <v>0.11224450930377472</v>
      </c>
      <c r="G150" s="18">
        <v>0.5440742129307099</v>
      </c>
      <c r="H150" s="18">
        <v>3.5156971299254589E-2</v>
      </c>
      <c r="I150" s="18">
        <v>9.6635074965254102</v>
      </c>
      <c r="J150" s="18">
        <v>9.8024487736753461</v>
      </c>
      <c r="K150" s="18">
        <v>0.20927785053497364</v>
      </c>
      <c r="L150" s="18">
        <v>9.319442344644802</v>
      </c>
      <c r="M150" s="18">
        <v>10.146513925555954</v>
      </c>
    </row>
    <row r="151" spans="2:13" x14ac:dyDescent="0.15">
      <c r="B151" s="9" t="s">
        <v>270</v>
      </c>
      <c r="C151" s="15">
        <v>1</v>
      </c>
      <c r="D151" s="18">
        <v>9.8938411754843223</v>
      </c>
      <c r="E151" s="18">
        <v>9.8211432171017528</v>
      </c>
      <c r="F151" s="18">
        <v>7.2697958382569539E-2</v>
      </c>
      <c r="G151" s="18">
        <v>0.35238324559485495</v>
      </c>
      <c r="H151" s="18">
        <v>6.758038565328757E-2</v>
      </c>
      <c r="I151" s="18">
        <v>9.6876034844975401</v>
      </c>
      <c r="J151" s="18">
        <v>9.9546829497059655</v>
      </c>
      <c r="K151" s="18">
        <v>0.21709056777909361</v>
      </c>
      <c r="L151" s="18">
        <v>9.3921693944182358</v>
      </c>
      <c r="M151" s="18">
        <v>10.25011703978527</v>
      </c>
    </row>
    <row r="152" spans="2:13" x14ac:dyDescent="0.15">
      <c r="B152" s="9" t="s">
        <v>271</v>
      </c>
      <c r="C152" s="15">
        <v>1</v>
      </c>
      <c r="D152" s="18">
        <v>11.051461270741962</v>
      </c>
      <c r="E152" s="18">
        <v>11.097561165483604</v>
      </c>
      <c r="F152" s="18">
        <v>-4.6099894741642444E-2</v>
      </c>
      <c r="G152" s="18">
        <v>-0.22345648890376679</v>
      </c>
      <c r="H152" s="18">
        <v>7.933423597944135E-2</v>
      </c>
      <c r="I152" s="18">
        <v>10.940795669746324</v>
      </c>
      <c r="J152" s="18">
        <v>11.254326661220885</v>
      </c>
      <c r="K152" s="18">
        <v>0.22103195943583326</v>
      </c>
      <c r="L152" s="18">
        <v>10.660799100947935</v>
      </c>
      <c r="M152" s="18">
        <v>11.534323230019274</v>
      </c>
    </row>
    <row r="153" spans="2:13" x14ac:dyDescent="0.15">
      <c r="B153" s="9" t="s">
        <v>272</v>
      </c>
      <c r="C153" s="15">
        <v>1</v>
      </c>
      <c r="D153" s="18">
        <v>10.036224879974322</v>
      </c>
      <c r="E153" s="18">
        <v>9.7543897298825115</v>
      </c>
      <c r="F153" s="18">
        <v>0.28183515009181015</v>
      </c>
      <c r="G153" s="18">
        <v>1.3661179367573162</v>
      </c>
      <c r="H153" s="18">
        <v>5.1912570295869161E-2</v>
      </c>
      <c r="I153" s="18">
        <v>9.6518098068901583</v>
      </c>
      <c r="J153" s="18">
        <v>9.8569696528748647</v>
      </c>
      <c r="K153" s="18">
        <v>0.21273486091453303</v>
      </c>
      <c r="L153" s="18">
        <v>9.3340228413615183</v>
      </c>
      <c r="M153" s="18">
        <v>10.174756618403505</v>
      </c>
    </row>
    <row r="154" spans="2:13" x14ac:dyDescent="0.15">
      <c r="B154" s="9" t="s">
        <v>273</v>
      </c>
      <c r="C154" s="15">
        <v>1</v>
      </c>
      <c r="D154" s="18">
        <v>9.7646851496556692</v>
      </c>
      <c r="E154" s="18">
        <v>9.8146949190088506</v>
      </c>
      <c r="F154" s="18">
        <v>-5.0009769353181355E-2</v>
      </c>
      <c r="G154" s="18">
        <v>-0.24240852464365006</v>
      </c>
      <c r="H154" s="18">
        <v>3.1209798323576954E-2</v>
      </c>
      <c r="I154" s="18">
        <v>9.7530239462484403</v>
      </c>
      <c r="J154" s="18">
        <v>9.8763658917692609</v>
      </c>
      <c r="K154" s="18">
        <v>0.20865104266454193</v>
      </c>
      <c r="L154" s="18">
        <v>9.4023977091651272</v>
      </c>
      <c r="M154" s="18">
        <v>10.226992128852574</v>
      </c>
    </row>
    <row r="155" spans="2:13" x14ac:dyDescent="0.15">
      <c r="B155" s="9" t="s">
        <v>274</v>
      </c>
      <c r="C155" s="15">
        <v>1</v>
      </c>
      <c r="D155" s="18">
        <v>10.001974499250782</v>
      </c>
      <c r="E155" s="18">
        <v>9.8614036435635093</v>
      </c>
      <c r="F155" s="18">
        <v>0.14057085568727246</v>
      </c>
      <c r="G155" s="18">
        <v>0.6813783421874442</v>
      </c>
      <c r="H155" s="18">
        <v>2.8624623546362374E-2</v>
      </c>
      <c r="I155" s="18">
        <v>9.8048410102295058</v>
      </c>
      <c r="J155" s="18">
        <v>9.9179662768975128</v>
      </c>
      <c r="K155" s="18">
        <v>0.20828004025055574</v>
      </c>
      <c r="L155" s="18">
        <v>9.4498395393787771</v>
      </c>
      <c r="M155" s="18">
        <v>10.272967747748242</v>
      </c>
    </row>
    <row r="156" spans="2:13" x14ac:dyDescent="0.15">
      <c r="B156" s="9" t="s">
        <v>275</v>
      </c>
      <c r="C156" s="15">
        <v>1</v>
      </c>
      <c r="D156" s="18">
        <v>10.077020603297003</v>
      </c>
      <c r="E156" s="18">
        <v>9.7988619024471681</v>
      </c>
      <c r="F156" s="18">
        <v>0.27815870084983452</v>
      </c>
      <c r="G156" s="18">
        <v>1.3482973659328301</v>
      </c>
      <c r="H156" s="18">
        <v>3.1795058829505528E-2</v>
      </c>
      <c r="I156" s="18">
        <v>9.7360344472146618</v>
      </c>
      <c r="J156" s="18">
        <v>9.8616893576796745</v>
      </c>
      <c r="K156" s="18">
        <v>0.20873938741783707</v>
      </c>
      <c r="L156" s="18">
        <v>9.3863901222067536</v>
      </c>
      <c r="M156" s="18">
        <v>10.211333682687583</v>
      </c>
    </row>
    <row r="157" spans="2:13" x14ac:dyDescent="0.15">
      <c r="B157" s="9" t="s">
        <v>276</v>
      </c>
      <c r="C157" s="15">
        <v>1</v>
      </c>
      <c r="D157" s="18">
        <v>10.873546513618466</v>
      </c>
      <c r="E157" s="18">
        <v>11.046649456830082</v>
      </c>
      <c r="F157" s="18">
        <v>-0.17310294321161557</v>
      </c>
      <c r="G157" s="18">
        <v>-0.83906863835059653</v>
      </c>
      <c r="H157" s="18">
        <v>3.0070713641300081E-2</v>
      </c>
      <c r="I157" s="18">
        <v>10.987229330412354</v>
      </c>
      <c r="J157" s="18">
        <v>11.106069583247809</v>
      </c>
      <c r="K157" s="18">
        <v>0.20848370179104944</v>
      </c>
      <c r="L157" s="18">
        <v>10.634682914757546</v>
      </c>
      <c r="M157" s="18">
        <v>11.458615998902618</v>
      </c>
    </row>
    <row r="158" spans="2:13" x14ac:dyDescent="0.15">
      <c r="B158" s="9" t="s">
        <v>277</v>
      </c>
      <c r="C158" s="15">
        <v>1</v>
      </c>
      <c r="D158" s="18">
        <v>9.8735436761630559</v>
      </c>
      <c r="E158" s="18">
        <v>9.9438261965662527</v>
      </c>
      <c r="F158" s="18">
        <v>-7.0282520403196713E-2</v>
      </c>
      <c r="G158" s="18">
        <v>-0.34067507808036596</v>
      </c>
      <c r="H158" s="18">
        <v>5.4077612616648944E-2</v>
      </c>
      <c r="I158" s="18">
        <v>9.8369681214177831</v>
      </c>
      <c r="J158" s="18">
        <v>10.050684271714722</v>
      </c>
      <c r="K158" s="18">
        <v>0.21327351987510898</v>
      </c>
      <c r="L158" s="18">
        <v>9.5223949108408803</v>
      </c>
      <c r="M158" s="18">
        <v>10.365257482291625</v>
      </c>
    </row>
    <row r="159" spans="2:13" x14ac:dyDescent="0.15">
      <c r="B159" s="9" t="s">
        <v>278</v>
      </c>
      <c r="C159" s="15">
        <v>1</v>
      </c>
      <c r="D159" s="18">
        <v>9.6712401869724474</v>
      </c>
      <c r="E159" s="18">
        <v>9.7074754514360215</v>
      </c>
      <c r="F159" s="18">
        <v>-3.6235264463574168E-2</v>
      </c>
      <c r="G159" s="18">
        <v>-0.17564042210742015</v>
      </c>
      <c r="H159" s="18">
        <v>4.5107314945289551E-2</v>
      </c>
      <c r="I159" s="18">
        <v>9.6183428026939524</v>
      </c>
      <c r="J159" s="18">
        <v>9.7966081001780907</v>
      </c>
      <c r="K159" s="18">
        <v>0.21117735663459683</v>
      </c>
      <c r="L159" s="18">
        <v>9.2901862118964882</v>
      </c>
      <c r="M159" s="18">
        <v>10.124764690975555</v>
      </c>
    </row>
    <row r="160" spans="2:13" x14ac:dyDescent="0.15">
      <c r="B160" s="9" t="s">
        <v>279</v>
      </c>
      <c r="C160" s="15">
        <v>1</v>
      </c>
      <c r="D160" s="18">
        <v>10.67468314579237</v>
      </c>
      <c r="E160" s="18">
        <v>10.438617171780736</v>
      </c>
      <c r="F160" s="18">
        <v>0.23606597401163398</v>
      </c>
      <c r="G160" s="18">
        <v>1.1442645150909123</v>
      </c>
      <c r="H160" s="18">
        <v>5.5292614948099915E-2</v>
      </c>
      <c r="I160" s="18">
        <v>10.329358236014397</v>
      </c>
      <c r="J160" s="18">
        <v>10.547876107547076</v>
      </c>
      <c r="K160" s="18">
        <v>0.21358482942709439</v>
      </c>
      <c r="L160" s="18">
        <v>10.0165707342783</v>
      </c>
      <c r="M160" s="18">
        <v>10.860663609283172</v>
      </c>
    </row>
    <row r="161" spans="2:13" x14ac:dyDescent="0.15">
      <c r="B161" s="9" t="s">
        <v>280</v>
      </c>
      <c r="C161" s="15">
        <v>1</v>
      </c>
      <c r="D161" s="18">
        <v>11.480784431637813</v>
      </c>
      <c r="E161" s="18">
        <v>11.424113385551617</v>
      </c>
      <c r="F161" s="18">
        <v>5.6671046086195886E-2</v>
      </c>
      <c r="G161" s="18">
        <v>0.27469722115191347</v>
      </c>
      <c r="H161" s="18">
        <v>5.6742711376545019E-2</v>
      </c>
      <c r="I161" s="18">
        <v>11.311989040133751</v>
      </c>
      <c r="J161" s="18">
        <v>11.536237730969484</v>
      </c>
      <c r="K161" s="18">
        <v>0.21396481343427487</v>
      </c>
      <c r="L161" s="18">
        <v>11.001316094643682</v>
      </c>
      <c r="M161" s="18">
        <v>11.846910676459553</v>
      </c>
    </row>
    <row r="162" spans="2:13" x14ac:dyDescent="0.15">
      <c r="B162" s="9" t="s">
        <v>281</v>
      </c>
      <c r="C162" s="15">
        <v>1</v>
      </c>
      <c r="D162" s="18">
        <v>11.287416618549733</v>
      </c>
      <c r="E162" s="18">
        <v>11.413897979381638</v>
      </c>
      <c r="F162" s="18">
        <v>-0.12648136083190487</v>
      </c>
      <c r="G162" s="18">
        <v>-0.613083412915856</v>
      </c>
      <c r="H162" s="18">
        <v>5.1181864095666434E-2</v>
      </c>
      <c r="I162" s="18">
        <v>11.312761941469903</v>
      </c>
      <c r="J162" s="18">
        <v>11.515034017293372</v>
      </c>
      <c r="K162" s="18">
        <v>0.21255773170108264</v>
      </c>
      <c r="L162" s="18">
        <v>10.993881100520575</v>
      </c>
      <c r="M162" s="18">
        <v>11.8339148582427</v>
      </c>
    </row>
    <row r="163" spans="2:13" x14ac:dyDescent="0.15">
      <c r="B163" s="9" t="s">
        <v>282</v>
      </c>
      <c r="C163" s="15">
        <v>1</v>
      </c>
      <c r="D163" s="18">
        <v>9.9061340474770336</v>
      </c>
      <c r="E163" s="18">
        <v>9.9775909812663777</v>
      </c>
      <c r="F163" s="18">
        <v>-7.1456933789344035E-2</v>
      </c>
      <c r="G163" s="18">
        <v>-0.34636772213651401</v>
      </c>
      <c r="H163" s="18">
        <v>3.0258215552521561E-2</v>
      </c>
      <c r="I163" s="18">
        <v>9.9178003486012347</v>
      </c>
      <c r="J163" s="18">
        <v>10.037381613931521</v>
      </c>
      <c r="K163" s="18">
        <v>0.2085108287404398</v>
      </c>
      <c r="L163" s="18">
        <v>9.5655708359843761</v>
      </c>
      <c r="M163" s="18">
        <v>10.389611126548379</v>
      </c>
    </row>
    <row r="164" spans="2:13" x14ac:dyDescent="0.15">
      <c r="B164" s="9" t="s">
        <v>283</v>
      </c>
      <c r="C164" s="15">
        <v>1</v>
      </c>
      <c r="D164" s="18">
        <v>11.953937880865364</v>
      </c>
      <c r="E164" s="18">
        <v>12.143754962177512</v>
      </c>
      <c r="F164" s="18">
        <v>-0.18981708131214781</v>
      </c>
      <c r="G164" s="18">
        <v>-0.92008579979812266</v>
      </c>
      <c r="H164" s="18">
        <v>8.1471248153837328E-2</v>
      </c>
      <c r="I164" s="18">
        <v>11.982766702222744</v>
      </c>
      <c r="J164" s="18">
        <v>12.304743222132281</v>
      </c>
      <c r="K164" s="18">
        <v>0.22180795830931382</v>
      </c>
      <c r="L164" s="18">
        <v>11.705459513641975</v>
      </c>
      <c r="M164" s="18">
        <v>12.58205041071305</v>
      </c>
    </row>
    <row r="165" spans="2:13" x14ac:dyDescent="0.15">
      <c r="B165" s="9" t="s">
        <v>284</v>
      </c>
      <c r="C165" s="15">
        <v>1</v>
      </c>
      <c r="D165" s="18">
        <v>9.9675884779426518</v>
      </c>
      <c r="E165" s="18">
        <v>10.148519542783944</v>
      </c>
      <c r="F165" s="18">
        <v>-0.18093106484129251</v>
      </c>
      <c r="G165" s="18">
        <v>-0.87701329275561268</v>
      </c>
      <c r="H165" s="18">
        <v>3.9543179446233888E-2</v>
      </c>
      <c r="I165" s="18">
        <v>10.070381699110458</v>
      </c>
      <c r="J165" s="18">
        <v>10.226657386457431</v>
      </c>
      <c r="K165" s="18">
        <v>0.21005920387909502</v>
      </c>
      <c r="L165" s="18">
        <v>9.7334397878239525</v>
      </c>
      <c r="M165" s="18">
        <v>10.563599297743936</v>
      </c>
    </row>
    <row r="166" spans="2:13" x14ac:dyDescent="0.15">
      <c r="B166" s="9" t="s">
        <v>285</v>
      </c>
      <c r="C166" s="15">
        <v>1</v>
      </c>
      <c r="D166" s="18">
        <v>10.009962447043133</v>
      </c>
      <c r="E166" s="18">
        <v>9.7924303776707156</v>
      </c>
      <c r="F166" s="18">
        <v>0.21753206937241742</v>
      </c>
      <c r="G166" s="18">
        <v>1.0544265386797538</v>
      </c>
      <c r="H166" s="18">
        <v>4.6195247795555498E-2</v>
      </c>
      <c r="I166" s="18">
        <v>9.70114795928008</v>
      </c>
      <c r="J166" s="18">
        <v>9.8837127960613511</v>
      </c>
      <c r="K166" s="18">
        <v>0.21141240978829728</v>
      </c>
      <c r="L166" s="18">
        <v>9.3746766700020139</v>
      </c>
      <c r="M166" s="18">
        <v>10.210184085339417</v>
      </c>
    </row>
    <row r="167" spans="2:13" x14ac:dyDescent="0.15">
      <c r="B167" s="9" t="s">
        <v>286</v>
      </c>
      <c r="C167" s="15">
        <v>1</v>
      </c>
      <c r="D167" s="18">
        <v>9.905834795604477</v>
      </c>
      <c r="E167" s="18">
        <v>9.7723885194137559</v>
      </c>
      <c r="F167" s="18">
        <v>0.13344627619072114</v>
      </c>
      <c r="G167" s="18">
        <v>0.64684391367871641</v>
      </c>
      <c r="H167" s="18">
        <v>3.6189268603702286E-2</v>
      </c>
      <c r="I167" s="18">
        <v>9.7008780477619059</v>
      </c>
      <c r="J167" s="18">
        <v>9.8438989910656058</v>
      </c>
      <c r="K167" s="18">
        <v>0.20945374013293025</v>
      </c>
      <c r="L167" s="18">
        <v>9.3585051687947995</v>
      </c>
      <c r="M167" s="18">
        <v>10.186271870032712</v>
      </c>
    </row>
    <row r="168" spans="2:13" x14ac:dyDescent="0.15">
      <c r="B168" s="9" t="s">
        <v>287</v>
      </c>
      <c r="C168" s="15">
        <v>1</v>
      </c>
      <c r="D168" s="18">
        <v>9.99419625266159</v>
      </c>
      <c r="E168" s="18">
        <v>9.8535562210272545</v>
      </c>
      <c r="F168" s="18">
        <v>0.14064003163433547</v>
      </c>
      <c r="G168" s="18">
        <v>0.68171365345732715</v>
      </c>
      <c r="H168" s="18">
        <v>2.8370288918682492E-2</v>
      </c>
      <c r="I168" s="18">
        <v>9.797496156269089</v>
      </c>
      <c r="J168" s="18">
        <v>9.90961628578542</v>
      </c>
      <c r="K168" s="18">
        <v>0.20824523856965296</v>
      </c>
      <c r="L168" s="18">
        <v>9.4420608854225918</v>
      </c>
      <c r="M168" s="18">
        <v>10.265051556631917</v>
      </c>
    </row>
    <row r="169" spans="2:13" x14ac:dyDescent="0.15">
      <c r="B169" s="9" t="s">
        <v>288</v>
      </c>
      <c r="C169" s="15">
        <v>1</v>
      </c>
      <c r="D169" s="18">
        <v>11.213710476704723</v>
      </c>
      <c r="E169" s="18">
        <v>11.103094265229917</v>
      </c>
      <c r="F169" s="18">
        <v>0.11061621147480594</v>
      </c>
      <c r="G169" s="18">
        <v>0.53618148957873402</v>
      </c>
      <c r="H169" s="18">
        <v>3.9649219549207283E-2</v>
      </c>
      <c r="I169" s="18">
        <v>11.024746884915592</v>
      </c>
      <c r="J169" s="18">
        <v>11.181441645544242</v>
      </c>
      <c r="K169" s="18">
        <v>0.21007919150754412</v>
      </c>
      <c r="L169" s="18">
        <v>10.68797501445272</v>
      </c>
      <c r="M169" s="18">
        <v>11.518213516007114</v>
      </c>
    </row>
    <row r="170" spans="2:13" x14ac:dyDescent="0.15">
      <c r="B170" s="9" t="s">
        <v>289</v>
      </c>
      <c r="C170" s="15">
        <v>1</v>
      </c>
      <c r="D170" s="18">
        <v>9.9327550502166968</v>
      </c>
      <c r="E170" s="18">
        <v>9.7383112967524248</v>
      </c>
      <c r="F170" s="18">
        <v>0.19444375346427201</v>
      </c>
      <c r="G170" s="18">
        <v>0.94251231335561703</v>
      </c>
      <c r="H170" s="18">
        <v>4.1593655721875213E-2</v>
      </c>
      <c r="I170" s="18">
        <v>9.656121684937732</v>
      </c>
      <c r="J170" s="18">
        <v>9.8205009085671175</v>
      </c>
      <c r="K170" s="18">
        <v>0.21045483669878448</v>
      </c>
      <c r="L170" s="18">
        <v>9.3224497661272014</v>
      </c>
      <c r="M170" s="18">
        <v>10.154172827377648</v>
      </c>
    </row>
    <row r="171" spans="2:13" x14ac:dyDescent="0.15">
      <c r="B171" s="9" t="s">
        <v>290</v>
      </c>
      <c r="C171" s="15">
        <v>1</v>
      </c>
      <c r="D171" s="18">
        <v>9.7616935469182415</v>
      </c>
      <c r="E171" s="18">
        <v>9.8752123142921242</v>
      </c>
      <c r="F171" s="18">
        <v>-0.11351876737388267</v>
      </c>
      <c r="G171" s="18">
        <v>-0.55025082647612877</v>
      </c>
      <c r="H171" s="18">
        <v>3.2641128988666668E-2</v>
      </c>
      <c r="I171" s="18">
        <v>9.8107130132758655</v>
      </c>
      <c r="J171" s="18">
        <v>9.9397116153083829</v>
      </c>
      <c r="K171" s="18">
        <v>0.20886993415821467</v>
      </c>
      <c r="L171" s="18">
        <v>9.4624825719724193</v>
      </c>
      <c r="M171" s="18">
        <v>10.287942056611829</v>
      </c>
    </row>
    <row r="172" spans="2:13" x14ac:dyDescent="0.15">
      <c r="B172" s="9" t="s">
        <v>291</v>
      </c>
      <c r="C172" s="15">
        <v>1</v>
      </c>
      <c r="D172" s="18">
        <v>9.788637710857186</v>
      </c>
      <c r="E172" s="18">
        <v>9.9119685628395686</v>
      </c>
      <c r="F172" s="18">
        <v>-0.12333085198238258</v>
      </c>
      <c r="G172" s="18">
        <v>-0.59781219267294805</v>
      </c>
      <c r="H172" s="18">
        <v>3.1780920060146343E-2</v>
      </c>
      <c r="I172" s="18">
        <v>9.8491690460016326</v>
      </c>
      <c r="J172" s="18">
        <v>9.9747680796775047</v>
      </c>
      <c r="K172" s="18">
        <v>0.20873723427666557</v>
      </c>
      <c r="L172" s="18">
        <v>9.4995010372344826</v>
      </c>
      <c r="M172" s="18">
        <v>10.324436088444655</v>
      </c>
    </row>
    <row r="173" spans="2:13" x14ac:dyDescent="0.15">
      <c r="B173" s="9" t="s">
        <v>292</v>
      </c>
      <c r="C173" s="15">
        <v>1</v>
      </c>
      <c r="D173" s="18">
        <v>11.826567639091541</v>
      </c>
      <c r="E173" s="18">
        <v>11.70650499938565</v>
      </c>
      <c r="F173" s="18">
        <v>0.12006263970589082</v>
      </c>
      <c r="G173" s="18">
        <v>0.58197043762361722</v>
      </c>
      <c r="H173" s="18">
        <v>5.3676081683424963E-2</v>
      </c>
      <c r="I173" s="18">
        <v>11.600440354652482</v>
      </c>
      <c r="J173" s="18">
        <v>11.812569644118819</v>
      </c>
      <c r="K173" s="18">
        <v>0.21317206158051732</v>
      </c>
      <c r="L173" s="18">
        <v>11.285274196587377</v>
      </c>
      <c r="M173" s="18">
        <v>12.127735802183924</v>
      </c>
    </row>
    <row r="174" spans="2:13" x14ac:dyDescent="0.15">
      <c r="B174" s="9" t="s">
        <v>293</v>
      </c>
      <c r="C174" s="15">
        <v>1</v>
      </c>
      <c r="D174" s="18">
        <v>9.9224564990837312</v>
      </c>
      <c r="E174" s="18">
        <v>10.19520951990045</v>
      </c>
      <c r="F174" s="18">
        <v>-0.27275302081671882</v>
      </c>
      <c r="G174" s="18">
        <v>-1.3220948271394803</v>
      </c>
      <c r="H174" s="18">
        <v>3.6221965878405572E-2</v>
      </c>
      <c r="I174" s="18">
        <v>10.123634438002913</v>
      </c>
      <c r="J174" s="18">
        <v>10.266784601797987</v>
      </c>
      <c r="K174" s="18">
        <v>0.20945939202074118</v>
      </c>
      <c r="L174" s="18">
        <v>9.7813150010767007</v>
      </c>
      <c r="M174" s="18">
        <v>10.609104038724199</v>
      </c>
    </row>
    <row r="175" spans="2:13" x14ac:dyDescent="0.15">
      <c r="B175" s="9" t="s">
        <v>294</v>
      </c>
      <c r="C175" s="15">
        <v>1</v>
      </c>
      <c r="D175" s="18">
        <v>10.011758827819916</v>
      </c>
      <c r="E175" s="18">
        <v>9.9114109092052871</v>
      </c>
      <c r="F175" s="18">
        <v>0.10034791861462899</v>
      </c>
      <c r="G175" s="18">
        <v>0.48640878006540628</v>
      </c>
      <c r="H175" s="18">
        <v>3.5834380208925772E-2</v>
      </c>
      <c r="I175" s="18">
        <v>9.8406017016981249</v>
      </c>
      <c r="J175" s="18">
        <v>9.9822201167124494</v>
      </c>
      <c r="K175" s="18">
        <v>0.20939271453075919</v>
      </c>
      <c r="L175" s="18">
        <v>9.4976481459803974</v>
      </c>
      <c r="M175" s="18">
        <v>10.325173672430177</v>
      </c>
    </row>
    <row r="176" spans="2:13" x14ac:dyDescent="0.15">
      <c r="B176" s="9" t="s">
        <v>295</v>
      </c>
      <c r="C176" s="15">
        <v>1</v>
      </c>
      <c r="D176" s="18">
        <v>11.161067472299884</v>
      </c>
      <c r="E176" s="18">
        <v>11.163858688727027</v>
      </c>
      <c r="F176" s="18">
        <v>-2.7912164271430839E-3</v>
      </c>
      <c r="G176" s="18">
        <v>-1.352964960278971E-2</v>
      </c>
      <c r="H176" s="18">
        <v>4.1312678996747614E-2</v>
      </c>
      <c r="I176" s="18">
        <v>11.08222429062381</v>
      </c>
      <c r="J176" s="18">
        <v>11.245493086830244</v>
      </c>
      <c r="K176" s="18">
        <v>0.21039948559701963</v>
      </c>
      <c r="L176" s="18">
        <v>10.74810653260829</v>
      </c>
      <c r="M176" s="18">
        <v>11.579610844845764</v>
      </c>
    </row>
    <row r="177" spans="2:13" x14ac:dyDescent="0.15">
      <c r="B177" s="9" t="s">
        <v>296</v>
      </c>
      <c r="C177" s="15">
        <v>1</v>
      </c>
      <c r="D177" s="18">
        <v>9.8949512215138409</v>
      </c>
      <c r="E177" s="18">
        <v>10.071119446951156</v>
      </c>
      <c r="F177" s="18">
        <v>-0.17616822543731558</v>
      </c>
      <c r="G177" s="18">
        <v>-0.85392674610751773</v>
      </c>
      <c r="H177" s="18">
        <v>3.3465678509349422E-2</v>
      </c>
      <c r="I177" s="18">
        <v>10.004990825216373</v>
      </c>
      <c r="J177" s="18">
        <v>10.13724806868594</v>
      </c>
      <c r="K177" s="18">
        <v>0.20900037734820789</v>
      </c>
      <c r="L177" s="18">
        <v>9.6581319471690854</v>
      </c>
      <c r="M177" s="18">
        <v>10.484106946733228</v>
      </c>
    </row>
    <row r="178" spans="2:13" x14ac:dyDescent="0.15">
      <c r="B178" s="9" t="s">
        <v>297</v>
      </c>
      <c r="C178" s="15">
        <v>1</v>
      </c>
      <c r="D178" s="18">
        <v>9.5998793295340885</v>
      </c>
      <c r="E178" s="18">
        <v>9.5635839139960641</v>
      </c>
      <c r="F178" s="18">
        <v>3.62954155380244E-2</v>
      </c>
      <c r="G178" s="18">
        <v>0.17593198780351915</v>
      </c>
      <c r="H178" s="18">
        <v>7.646369264703895E-2</v>
      </c>
      <c r="I178" s="18">
        <v>9.4124906497107386</v>
      </c>
      <c r="J178" s="18">
        <v>9.7146771782813897</v>
      </c>
      <c r="K178" s="18">
        <v>0.22001795923702</v>
      </c>
      <c r="L178" s="18">
        <v>9.1288255272154295</v>
      </c>
      <c r="M178" s="18">
        <v>9.9983423007766987</v>
      </c>
    </row>
    <row r="179" spans="2:13" x14ac:dyDescent="0.15">
      <c r="B179" s="9" t="s">
        <v>298</v>
      </c>
      <c r="C179" s="15">
        <v>1</v>
      </c>
      <c r="D179" s="18">
        <v>9.7508024648704801</v>
      </c>
      <c r="E179" s="18">
        <v>9.7699745314096429</v>
      </c>
      <c r="F179" s="18">
        <v>-1.9172066539162813E-2</v>
      </c>
      <c r="G179" s="18">
        <v>-9.2931289710751291E-2</v>
      </c>
      <c r="H179" s="18">
        <v>4.7784055589583936E-2</v>
      </c>
      <c r="I179" s="18">
        <v>9.6755526078811922</v>
      </c>
      <c r="J179" s="18">
        <v>9.8643964549380936</v>
      </c>
      <c r="K179" s="18">
        <v>0.21176525225397722</v>
      </c>
      <c r="L179" s="18">
        <v>9.3515236023791086</v>
      </c>
      <c r="M179" s="18">
        <v>10.188425460440177</v>
      </c>
    </row>
    <row r="180" spans="2:13" x14ac:dyDescent="0.15">
      <c r="B180" s="9" t="s">
        <v>299</v>
      </c>
      <c r="C180" s="15">
        <v>1</v>
      </c>
      <c r="D180" s="18">
        <v>11.630815161604794</v>
      </c>
      <c r="E180" s="18">
        <v>11.654050520424045</v>
      </c>
      <c r="F180" s="18">
        <v>-2.3235358819251317E-2</v>
      </c>
      <c r="G180" s="18">
        <v>-0.11262697516484804</v>
      </c>
      <c r="H180" s="18">
        <v>5.261124323728715E-2</v>
      </c>
      <c r="I180" s="18">
        <v>11.550090010492555</v>
      </c>
      <c r="J180" s="18">
        <v>11.758011030355535</v>
      </c>
      <c r="K180" s="18">
        <v>0.21290643252042704</v>
      </c>
      <c r="L180" s="18">
        <v>11.233344604148888</v>
      </c>
      <c r="M180" s="18">
        <v>12.074756436699202</v>
      </c>
    </row>
    <row r="181" spans="2:13" x14ac:dyDescent="0.15">
      <c r="B181" s="9" t="s">
        <v>300</v>
      </c>
      <c r="C181" s="15">
        <v>1</v>
      </c>
      <c r="D181" s="18">
        <v>9.8022850470269649</v>
      </c>
      <c r="E181" s="18">
        <v>10.221760654034682</v>
      </c>
      <c r="F181" s="18">
        <v>-0.41947560700771724</v>
      </c>
      <c r="G181" s="18">
        <v>-2.0332919814250587</v>
      </c>
      <c r="H181" s="18">
        <v>3.2421427166274358E-2</v>
      </c>
      <c r="I181" s="18">
        <v>10.157695486714633</v>
      </c>
      <c r="J181" s="18">
        <v>10.285825821354731</v>
      </c>
      <c r="K181" s="18">
        <v>0.20883571302126508</v>
      </c>
      <c r="L181" s="18">
        <v>9.8090985331325449</v>
      </c>
      <c r="M181" s="18">
        <v>10.634422774936819</v>
      </c>
    </row>
    <row r="182" spans="2:13" x14ac:dyDescent="0.15">
      <c r="B182" s="9" t="s">
        <v>301</v>
      </c>
      <c r="C182" s="15">
        <v>1</v>
      </c>
      <c r="D182" s="18">
        <v>9.6746402658052393</v>
      </c>
      <c r="E182" s="18">
        <v>9.9161825450292582</v>
      </c>
      <c r="F182" s="18">
        <v>-0.24154227922401894</v>
      </c>
      <c r="G182" s="18">
        <v>-1.1708093899064191</v>
      </c>
      <c r="H182" s="18">
        <v>3.7683438270103439E-2</v>
      </c>
      <c r="I182" s="18">
        <v>9.8417195744268966</v>
      </c>
      <c r="J182" s="18">
        <v>9.9906455156316198</v>
      </c>
      <c r="K182" s="18">
        <v>0.2097170656228502</v>
      </c>
      <c r="L182" s="18">
        <v>9.5017788597721982</v>
      </c>
      <c r="M182" s="18">
        <v>10.330586230286318</v>
      </c>
    </row>
    <row r="183" spans="2:13" x14ac:dyDescent="0.15">
      <c r="B183" s="9" t="s">
        <v>302</v>
      </c>
      <c r="C183" s="15">
        <v>1</v>
      </c>
      <c r="D183" s="18">
        <v>11.085536781945789</v>
      </c>
      <c r="E183" s="18">
        <v>11.012394560127772</v>
      </c>
      <c r="F183" s="18">
        <v>7.3142221818017106E-2</v>
      </c>
      <c r="G183" s="18">
        <v>0.3545366897185302</v>
      </c>
      <c r="H183" s="18">
        <v>3.1269802624357676E-2</v>
      </c>
      <c r="I183" s="18">
        <v>10.950605018078301</v>
      </c>
      <c r="J183" s="18">
        <v>11.074184102177243</v>
      </c>
      <c r="K183" s="18">
        <v>0.2086600264779252</v>
      </c>
      <c r="L183" s="18">
        <v>10.600079598150417</v>
      </c>
      <c r="M183" s="18">
        <v>11.424709522105127</v>
      </c>
    </row>
    <row r="184" spans="2:13" x14ac:dyDescent="0.15">
      <c r="B184" s="9" t="s">
        <v>303</v>
      </c>
      <c r="C184" s="15">
        <v>1</v>
      </c>
      <c r="D184" s="18">
        <v>9.8189095760608307</v>
      </c>
      <c r="E184" s="18">
        <v>9.87325200797215</v>
      </c>
      <c r="F184" s="18">
        <v>-5.4342431911319267E-2</v>
      </c>
      <c r="G184" s="18">
        <v>-0.26340990801496095</v>
      </c>
      <c r="H184" s="18">
        <v>6.494736574996049E-2</v>
      </c>
      <c r="I184" s="18">
        <v>9.7449151573940291</v>
      </c>
      <c r="J184" s="18">
        <v>10.001588858550271</v>
      </c>
      <c r="K184" s="18">
        <v>0.21628538187187155</v>
      </c>
      <c r="L184" s="18">
        <v>9.4458692432517939</v>
      </c>
      <c r="M184" s="18">
        <v>10.300634772692506</v>
      </c>
    </row>
    <row r="185" spans="2:13" x14ac:dyDescent="0.15">
      <c r="B185" s="9" t="s">
        <v>304</v>
      </c>
      <c r="C185" s="15">
        <v>1</v>
      </c>
      <c r="D185" s="18">
        <v>9.888272386729648</v>
      </c>
      <c r="E185" s="18">
        <v>9.8569045201060739</v>
      </c>
      <c r="F185" s="18">
        <v>3.1367866623574159E-2</v>
      </c>
      <c r="G185" s="18">
        <v>0.15204705736071725</v>
      </c>
      <c r="H185" s="18">
        <v>4.035921985755838E-2</v>
      </c>
      <c r="I185" s="18">
        <v>9.777154169826284</v>
      </c>
      <c r="J185" s="18">
        <v>9.9366548703858637</v>
      </c>
      <c r="K185" s="18">
        <v>0.21021434946528483</v>
      </c>
      <c r="L185" s="18">
        <v>9.4415181954233116</v>
      </c>
      <c r="M185" s="18">
        <v>10.272290844788836</v>
      </c>
    </row>
    <row r="186" spans="2:13" x14ac:dyDescent="0.15">
      <c r="B186" s="9" t="s">
        <v>305</v>
      </c>
      <c r="C186" s="15">
        <v>1</v>
      </c>
      <c r="D186" s="18">
        <v>9.6649765240907968</v>
      </c>
      <c r="E186" s="18">
        <v>9.808028220828783</v>
      </c>
      <c r="F186" s="18">
        <v>-0.14305169673798623</v>
      </c>
      <c r="G186" s="18">
        <v>-0.69340353300030022</v>
      </c>
      <c r="H186" s="18">
        <v>4.095825600806096E-2</v>
      </c>
      <c r="I186" s="18">
        <v>9.7270941672216864</v>
      </c>
      <c r="J186" s="18">
        <v>9.8889622744358796</v>
      </c>
      <c r="K186" s="18">
        <v>0.21033018049919516</v>
      </c>
      <c r="L186" s="18">
        <v>9.3924130124966272</v>
      </c>
      <c r="M186" s="18">
        <v>10.223643429160939</v>
      </c>
    </row>
    <row r="187" spans="2:13" x14ac:dyDescent="0.15">
      <c r="B187" s="9" t="s">
        <v>306</v>
      </c>
      <c r="C187" s="15">
        <v>1</v>
      </c>
      <c r="D187" s="18">
        <v>10.845991691226187</v>
      </c>
      <c r="E187" s="18">
        <v>10.464421814879032</v>
      </c>
      <c r="F187" s="18">
        <v>0.38156987634715556</v>
      </c>
      <c r="G187" s="18">
        <v>1.84955443646512</v>
      </c>
      <c r="H187" s="18">
        <v>4.1643881361260786E-2</v>
      </c>
      <c r="I187" s="18">
        <v>10.382132956539055</v>
      </c>
      <c r="J187" s="18">
        <v>10.546710673219009</v>
      </c>
      <c r="K187" s="18">
        <v>0.21046476890071866</v>
      </c>
      <c r="L187" s="18">
        <v>10.048540658091902</v>
      </c>
      <c r="M187" s="18">
        <v>10.880302971666161</v>
      </c>
    </row>
    <row r="188" spans="2:13" x14ac:dyDescent="0.15">
      <c r="B188" s="9" t="s">
        <v>307</v>
      </c>
      <c r="C188" s="15">
        <v>1</v>
      </c>
      <c r="D188" s="18">
        <v>9.8676012739717187</v>
      </c>
      <c r="E188" s="18">
        <v>9.8904948142133264</v>
      </c>
      <c r="F188" s="18">
        <v>-2.2893540241607724E-2</v>
      </c>
      <c r="G188" s="18">
        <v>-0.11097010415396218</v>
      </c>
      <c r="H188" s="18">
        <v>4.1941711368189173E-2</v>
      </c>
      <c r="I188" s="18">
        <v>9.8076174398549476</v>
      </c>
      <c r="J188" s="18">
        <v>9.9733721885717053</v>
      </c>
      <c r="K188" s="18">
        <v>0.21052390184037215</v>
      </c>
      <c r="L188" s="18">
        <v>9.4744968099582056</v>
      </c>
      <c r="M188" s="18">
        <v>10.306492818468447</v>
      </c>
    </row>
    <row r="189" spans="2:13" x14ac:dyDescent="0.15">
      <c r="B189" s="9" t="s">
        <v>308</v>
      </c>
      <c r="C189" s="15">
        <v>1</v>
      </c>
      <c r="D189" s="18">
        <v>9.7198050701028311</v>
      </c>
      <c r="E189" s="18">
        <v>9.7554604167425119</v>
      </c>
      <c r="F189" s="18">
        <v>-3.5655346639680729E-2</v>
      </c>
      <c r="G189" s="18">
        <v>-0.17282943085665523</v>
      </c>
      <c r="H189" s="18">
        <v>5.4386966331039455E-2</v>
      </c>
      <c r="I189" s="18">
        <v>9.6479910545778402</v>
      </c>
      <c r="J189" s="18">
        <v>9.8629297789071835</v>
      </c>
      <c r="K189" s="18">
        <v>0.21335216942955085</v>
      </c>
      <c r="L189" s="18">
        <v>9.3338737184611436</v>
      </c>
      <c r="M189" s="18">
        <v>10.17704711502388</v>
      </c>
    </row>
    <row r="190" spans="2:13" x14ac:dyDescent="0.15">
      <c r="B190" s="9" t="s">
        <v>309</v>
      </c>
      <c r="C190" s="15">
        <v>1</v>
      </c>
      <c r="D190" s="18">
        <v>11.255281044494451</v>
      </c>
      <c r="E190" s="18">
        <v>11.181169313754573</v>
      </c>
      <c r="F190" s="18">
        <v>7.4111730739877757E-2</v>
      </c>
      <c r="G190" s="18">
        <v>0.35923611605895878</v>
      </c>
      <c r="H190" s="18">
        <v>4.059443307784006E-2</v>
      </c>
      <c r="I190" s="18">
        <v>11.100954179051939</v>
      </c>
      <c r="J190" s="18">
        <v>11.261384448457207</v>
      </c>
      <c r="K190" s="18">
        <v>0.2102596349528682</v>
      </c>
      <c r="L190" s="18">
        <v>10.765693504351587</v>
      </c>
      <c r="M190" s="18">
        <v>11.596645123157559</v>
      </c>
    </row>
    <row r="191" spans="2:13" x14ac:dyDescent="0.15">
      <c r="B191" s="9" t="s">
        <v>310</v>
      </c>
      <c r="C191" s="15">
        <v>1</v>
      </c>
      <c r="D191" s="18">
        <v>9.7198050701028311</v>
      </c>
      <c r="E191" s="18">
        <v>10.019764772844505</v>
      </c>
      <c r="F191" s="18">
        <v>-0.29995970274167405</v>
      </c>
      <c r="G191" s="18">
        <v>-1.4539716926235222</v>
      </c>
      <c r="H191" s="18">
        <v>3.9681529930439281E-2</v>
      </c>
      <c r="I191" s="18">
        <v>9.9413535467910901</v>
      </c>
      <c r="J191" s="18">
        <v>10.09817599889792</v>
      </c>
      <c r="K191" s="18">
        <v>0.21008529199166348</v>
      </c>
      <c r="L191" s="18">
        <v>9.6046334674302969</v>
      </c>
      <c r="M191" s="18">
        <v>10.434896078258713</v>
      </c>
    </row>
    <row r="192" spans="2:13" x14ac:dyDescent="0.15">
      <c r="B192" s="9" t="s">
        <v>311</v>
      </c>
      <c r="C192" s="15">
        <v>1</v>
      </c>
      <c r="D192" s="18">
        <v>9.7444332026805203</v>
      </c>
      <c r="E192" s="18">
        <v>9.7982227474127797</v>
      </c>
      <c r="F192" s="18">
        <v>-5.3789544732259387E-2</v>
      </c>
      <c r="G192" s="18">
        <v>-0.26072994033856994</v>
      </c>
      <c r="H192" s="18">
        <v>5.2035002061364508E-2</v>
      </c>
      <c r="I192" s="18">
        <v>9.6954008976384394</v>
      </c>
      <c r="J192" s="18">
        <v>9.9010445971871199</v>
      </c>
      <c r="K192" s="18">
        <v>0.2127647704229447</v>
      </c>
      <c r="L192" s="18">
        <v>9.3777967573090262</v>
      </c>
      <c r="M192" s="18">
        <v>10.218648737516533</v>
      </c>
    </row>
    <row r="193" spans="2:13" x14ac:dyDescent="0.15">
      <c r="B193" s="9" t="s">
        <v>312</v>
      </c>
      <c r="C193" s="15">
        <v>1</v>
      </c>
      <c r="D193" s="18">
        <v>9.8129061743048904</v>
      </c>
      <c r="E193" s="18">
        <v>9.7518330102131738</v>
      </c>
      <c r="F193" s="18">
        <v>6.1073164091716592E-2</v>
      </c>
      <c r="G193" s="18">
        <v>0.29603527059359996</v>
      </c>
      <c r="H193" s="18">
        <v>3.9886288341465896E-2</v>
      </c>
      <c r="I193" s="18">
        <v>9.6730171788413273</v>
      </c>
      <c r="J193" s="18">
        <v>9.8306488415850204</v>
      </c>
      <c r="K193" s="18">
        <v>0.21012406357021729</v>
      </c>
      <c r="L193" s="18">
        <v>9.3366250916488234</v>
      </c>
      <c r="M193" s="18">
        <v>10.167040928777524</v>
      </c>
    </row>
    <row r="194" spans="2:13" x14ac:dyDescent="0.15">
      <c r="B194" s="9" t="s">
        <v>313</v>
      </c>
      <c r="C194" s="15">
        <v>1</v>
      </c>
      <c r="D194" s="18">
        <v>10.981148554451305</v>
      </c>
      <c r="E194" s="18">
        <v>10.706844855714733</v>
      </c>
      <c r="F194" s="18">
        <v>0.27430369873657234</v>
      </c>
      <c r="G194" s="18">
        <v>1.3296113094510562</v>
      </c>
      <c r="H194" s="18">
        <v>3.2392066751675365E-2</v>
      </c>
      <c r="I194" s="18">
        <v>10.642837704960835</v>
      </c>
      <c r="J194" s="18">
        <v>10.770852006468632</v>
      </c>
      <c r="K194" s="18">
        <v>0.20883115687570938</v>
      </c>
      <c r="L194" s="18">
        <v>10.294191737816254</v>
      </c>
      <c r="M194" s="18">
        <v>11.119497973613212</v>
      </c>
    </row>
    <row r="195" spans="2:13" x14ac:dyDescent="0.15">
      <c r="B195" s="9" t="s">
        <v>314</v>
      </c>
      <c r="C195" s="15">
        <v>1</v>
      </c>
      <c r="D195" s="18">
        <v>9.7823927891580702</v>
      </c>
      <c r="E195" s="18">
        <v>9.9528316789096163</v>
      </c>
      <c r="F195" s="18">
        <v>-0.17043888975154609</v>
      </c>
      <c r="G195" s="18">
        <v>-0.82615537605845257</v>
      </c>
      <c r="H195" s="18">
        <v>3.528741358531215E-2</v>
      </c>
      <c r="I195" s="18">
        <v>9.8831032846584712</v>
      </c>
      <c r="J195" s="18">
        <v>10.022560073160761</v>
      </c>
      <c r="K195" s="18">
        <v>0.20929980327545228</v>
      </c>
      <c r="L195" s="18">
        <v>9.5392525095495682</v>
      </c>
      <c r="M195" s="18">
        <v>10.366410848269664</v>
      </c>
    </row>
    <row r="196" spans="2:13" x14ac:dyDescent="0.15">
      <c r="B196" s="9" t="s">
        <v>315</v>
      </c>
      <c r="C196" s="15">
        <v>1</v>
      </c>
      <c r="D196" s="18">
        <v>9.7899268403129618</v>
      </c>
      <c r="E196" s="18">
        <v>9.7147652270756524</v>
      </c>
      <c r="F196" s="18">
        <v>7.516161323730941E-2</v>
      </c>
      <c r="G196" s="18">
        <v>0.36432513107628972</v>
      </c>
      <c r="H196" s="18">
        <v>4.4161667225992705E-2</v>
      </c>
      <c r="I196" s="18">
        <v>9.627501190688367</v>
      </c>
      <c r="J196" s="18">
        <v>9.8020292634629378</v>
      </c>
      <c r="K196" s="18">
        <v>0.21097738965534074</v>
      </c>
      <c r="L196" s="18">
        <v>9.2978711249222332</v>
      </c>
      <c r="M196" s="18">
        <v>10.131659329229072</v>
      </c>
    </row>
    <row r="197" spans="2:13" x14ac:dyDescent="0.15">
      <c r="B197" s="9" t="s">
        <v>316</v>
      </c>
      <c r="C197" s="15">
        <v>1</v>
      </c>
      <c r="D197" s="18">
        <v>9.6124665788188324</v>
      </c>
      <c r="E197" s="18">
        <v>9.8003488276702821</v>
      </c>
      <c r="F197" s="18">
        <v>-0.18788224885144977</v>
      </c>
      <c r="G197" s="18">
        <v>-0.91070723460382796</v>
      </c>
      <c r="H197" s="18">
        <v>5.1949663476020307E-2</v>
      </c>
      <c r="I197" s="18">
        <v>9.697695608065148</v>
      </c>
      <c r="J197" s="18">
        <v>9.9030020472754163</v>
      </c>
      <c r="K197" s="18">
        <v>0.21274391560952785</v>
      </c>
      <c r="L197" s="18">
        <v>9.379964046952658</v>
      </c>
      <c r="M197" s="18">
        <v>10.220733608387906</v>
      </c>
    </row>
    <row r="198" spans="2:13" x14ac:dyDescent="0.15">
      <c r="B198" s="9" t="s">
        <v>317</v>
      </c>
      <c r="C198" s="15">
        <v>1</v>
      </c>
      <c r="D198" s="18">
        <v>9.6066301821488942</v>
      </c>
      <c r="E198" s="18">
        <v>9.9693239937701765</v>
      </c>
      <c r="F198" s="18">
        <v>-0.36269381162128234</v>
      </c>
      <c r="G198" s="18">
        <v>-1.7580579336725932</v>
      </c>
      <c r="H198" s="18">
        <v>3.2720980044250246E-2</v>
      </c>
      <c r="I198" s="18">
        <v>9.9046669060158337</v>
      </c>
      <c r="J198" s="18">
        <v>10.033981081524519</v>
      </c>
      <c r="K198" s="18">
        <v>0.2088824277641812</v>
      </c>
      <c r="L198" s="18">
        <v>9.5565695639204442</v>
      </c>
      <c r="M198" s="18">
        <v>10.382078423619909</v>
      </c>
    </row>
    <row r="199" spans="2:13" x14ac:dyDescent="0.15">
      <c r="B199" s="9" t="s">
        <v>318</v>
      </c>
      <c r="C199" s="15">
        <v>1</v>
      </c>
      <c r="D199" s="18">
        <v>10.931426987909191</v>
      </c>
      <c r="E199" s="18">
        <v>10.74934582127409</v>
      </c>
      <c r="F199" s="18">
        <v>0.18208116663510054</v>
      </c>
      <c r="G199" s="18">
        <v>0.88258809309228492</v>
      </c>
      <c r="H199" s="18">
        <v>3.7158777937741999E-2</v>
      </c>
      <c r="I199" s="18">
        <v>10.675919586402285</v>
      </c>
      <c r="J199" s="18">
        <v>10.822772056145896</v>
      </c>
      <c r="K199" s="18">
        <v>0.20962342634216383</v>
      </c>
      <c r="L199" s="18">
        <v>10.335127168469615</v>
      </c>
      <c r="M199" s="18">
        <v>11.163564474078566</v>
      </c>
    </row>
    <row r="200" spans="2:13" x14ac:dyDescent="0.15">
      <c r="B200" s="9" t="s">
        <v>319</v>
      </c>
      <c r="C200" s="15">
        <v>1</v>
      </c>
      <c r="D200" s="18">
        <v>9.7549875442176841</v>
      </c>
      <c r="E200" s="18">
        <v>9.9103227816119777</v>
      </c>
      <c r="F200" s="18">
        <v>-0.15533523739429356</v>
      </c>
      <c r="G200" s="18">
        <v>-0.75294459880420261</v>
      </c>
      <c r="H200" s="18">
        <v>4.0346729914284944E-2</v>
      </c>
      <c r="I200" s="18">
        <v>9.8305971116246837</v>
      </c>
      <c r="J200" s="18">
        <v>9.9900484515992716</v>
      </c>
      <c r="K200" s="18">
        <v>0.21021195186853295</v>
      </c>
      <c r="L200" s="18">
        <v>9.4949411946119913</v>
      </c>
      <c r="M200" s="18">
        <v>10.325704368611964</v>
      </c>
    </row>
    <row r="201" spans="2:13" x14ac:dyDescent="0.15">
      <c r="B201" s="9" t="s">
        <v>320</v>
      </c>
      <c r="C201" s="15">
        <v>1</v>
      </c>
      <c r="D201" s="18">
        <v>9.7721252343393008</v>
      </c>
      <c r="E201" s="18">
        <v>9.8229400025279521</v>
      </c>
      <c r="F201" s="18">
        <v>-5.0814768188651271E-2</v>
      </c>
      <c r="G201" s="18">
        <v>-0.24631053384245286</v>
      </c>
      <c r="H201" s="18">
        <v>4.0036713625324155E-2</v>
      </c>
      <c r="I201" s="18">
        <v>9.7438269288129433</v>
      </c>
      <c r="J201" s="18">
        <v>9.9020530762429608</v>
      </c>
      <c r="K201" s="18">
        <v>0.21015266957980422</v>
      </c>
      <c r="L201" s="18">
        <v>9.4076755581116966</v>
      </c>
      <c r="M201" s="18">
        <v>10.238204446944208</v>
      </c>
    </row>
    <row r="202" spans="2:13" x14ac:dyDescent="0.15">
      <c r="B202" s="9" t="s">
        <v>321</v>
      </c>
      <c r="C202" s="15">
        <v>1</v>
      </c>
      <c r="D202" s="18">
        <v>10.735156776679537</v>
      </c>
      <c r="E202" s="18">
        <v>10.62570659990752</v>
      </c>
      <c r="F202" s="18">
        <v>0.10945017677201641</v>
      </c>
      <c r="G202" s="18">
        <v>0.5305294588726871</v>
      </c>
      <c r="H202" s="18">
        <v>3.6964746817816772E-2</v>
      </c>
      <c r="I202" s="18">
        <v>10.55266377308557</v>
      </c>
      <c r="J202" s="18">
        <v>10.698749426729471</v>
      </c>
      <c r="K202" s="18">
        <v>0.20958911851741602</v>
      </c>
      <c r="L202" s="18">
        <v>10.211555739816845</v>
      </c>
      <c r="M202" s="18">
        <v>11.039857459998196</v>
      </c>
    </row>
    <row r="203" spans="2:13" x14ac:dyDescent="0.15">
      <c r="B203" s="9" t="s">
        <v>322</v>
      </c>
      <c r="C203" s="15">
        <v>1</v>
      </c>
      <c r="D203" s="18">
        <v>9.7003304351540347</v>
      </c>
      <c r="E203" s="18">
        <v>9.9415225868277037</v>
      </c>
      <c r="F203" s="18">
        <v>-0.24119215167366903</v>
      </c>
      <c r="G203" s="18">
        <v>-1.1691122434485337</v>
      </c>
      <c r="H203" s="18">
        <v>3.7359067404323175E-2</v>
      </c>
      <c r="I203" s="18">
        <v>9.8677005773305826</v>
      </c>
      <c r="J203" s="18">
        <v>10.015344596324825</v>
      </c>
      <c r="K203" s="18">
        <v>0.20965902320416099</v>
      </c>
      <c r="L203" s="18">
        <v>9.5272335941548381</v>
      </c>
      <c r="M203" s="18">
        <v>10.355811579500569</v>
      </c>
    </row>
    <row r="204" spans="2:13" x14ac:dyDescent="0.15">
      <c r="B204" s="9" t="s">
        <v>323</v>
      </c>
      <c r="C204" s="15">
        <v>1</v>
      </c>
      <c r="D204" s="18">
        <v>11.183059359733951</v>
      </c>
      <c r="E204" s="18">
        <v>11.120485240923339</v>
      </c>
      <c r="F204" s="18">
        <v>6.2574118810612589E-2</v>
      </c>
      <c r="G204" s="18">
        <v>0.30331073344156767</v>
      </c>
      <c r="H204" s="18">
        <v>4.4637700484743713E-2</v>
      </c>
      <c r="I204" s="18">
        <v>11.032280556543743</v>
      </c>
      <c r="J204" s="18">
        <v>11.208689925302934</v>
      </c>
      <c r="K204" s="18">
        <v>0.2110775459355349</v>
      </c>
      <c r="L204" s="18">
        <v>10.703393228640426</v>
      </c>
      <c r="M204" s="18">
        <v>11.537577253206251</v>
      </c>
    </row>
    <row r="205" spans="2:13" x14ac:dyDescent="0.15">
      <c r="B205" s="9" t="s">
        <v>324</v>
      </c>
      <c r="C205" s="15">
        <v>1</v>
      </c>
      <c r="D205" s="18">
        <v>9.7977380723525194</v>
      </c>
      <c r="E205" s="18">
        <v>9.8268838290917753</v>
      </c>
      <c r="F205" s="18">
        <v>-2.9145756739255901E-2</v>
      </c>
      <c r="G205" s="18">
        <v>-0.14127599431402488</v>
      </c>
      <c r="H205" s="18">
        <v>4.1674225344623998E-2</v>
      </c>
      <c r="I205" s="18">
        <v>9.74453501064081</v>
      </c>
      <c r="J205" s="18">
        <v>9.9092326475427406</v>
      </c>
      <c r="K205" s="18">
        <v>0.21047077505363224</v>
      </c>
      <c r="L205" s="18">
        <v>9.4109908040673407</v>
      </c>
      <c r="M205" s="18">
        <v>10.24277685411621</v>
      </c>
    </row>
    <row r="206" spans="2:13" x14ac:dyDescent="0.15">
      <c r="B206" s="9" t="s">
        <v>325</v>
      </c>
      <c r="C206" s="15">
        <v>1</v>
      </c>
      <c r="D206" s="18">
        <v>9.885221743729236</v>
      </c>
      <c r="E206" s="18">
        <v>9.840416998476524</v>
      </c>
      <c r="F206" s="18">
        <v>4.4804745252712053E-2</v>
      </c>
      <c r="G206" s="18">
        <v>0.21717860998400287</v>
      </c>
      <c r="H206" s="18">
        <v>3.757843938063548E-2</v>
      </c>
      <c r="I206" s="18">
        <v>9.7661615070633943</v>
      </c>
      <c r="J206" s="18">
        <v>9.9146724898896537</v>
      </c>
      <c r="K206" s="18">
        <v>0.20969822412191824</v>
      </c>
      <c r="L206" s="18">
        <v>9.4260505442735933</v>
      </c>
      <c r="M206" s="18">
        <v>10.254783452679455</v>
      </c>
    </row>
    <row r="207" spans="2:13" x14ac:dyDescent="0.15">
      <c r="B207" s="9" t="s">
        <v>326</v>
      </c>
      <c r="C207" s="15">
        <v>1</v>
      </c>
      <c r="D207" s="18">
        <v>10.940897969477794</v>
      </c>
      <c r="E207" s="18">
        <v>10.738359441526905</v>
      </c>
      <c r="F207" s="18">
        <v>0.20253852795088889</v>
      </c>
      <c r="G207" s="18">
        <v>0.98174949373063569</v>
      </c>
      <c r="H207" s="18">
        <v>3.5207976531369894E-2</v>
      </c>
      <c r="I207" s="18">
        <v>10.668788015941146</v>
      </c>
      <c r="J207" s="18">
        <v>10.807930867112663</v>
      </c>
      <c r="K207" s="18">
        <v>0.20928642503763986</v>
      </c>
      <c r="L207" s="18">
        <v>10.324806707741068</v>
      </c>
      <c r="M207" s="18">
        <v>11.151912175312741</v>
      </c>
    </row>
    <row r="208" spans="2:13" x14ac:dyDescent="0.15">
      <c r="B208" s="9" t="s">
        <v>327</v>
      </c>
      <c r="C208" s="15">
        <v>1</v>
      </c>
      <c r="D208" s="18">
        <v>9.9041873076504015</v>
      </c>
      <c r="E208" s="18">
        <v>9.9627061068063654</v>
      </c>
      <c r="F208" s="18">
        <v>-5.8518799155963919E-2</v>
      </c>
      <c r="G208" s="18">
        <v>-0.28365369308412708</v>
      </c>
      <c r="H208" s="18">
        <v>3.4420452442556565E-2</v>
      </c>
      <c r="I208" s="18">
        <v>9.8946908391978496</v>
      </c>
      <c r="J208" s="18">
        <v>10.030721374414881</v>
      </c>
      <c r="K208" s="18">
        <v>0.20915538157062194</v>
      </c>
      <c r="L208" s="18">
        <v>9.5494123166382057</v>
      </c>
      <c r="M208" s="18">
        <v>10.375999896974525</v>
      </c>
    </row>
    <row r="209" spans="2:13" x14ac:dyDescent="0.15">
      <c r="B209" s="9" t="s">
        <v>328</v>
      </c>
      <c r="C209" s="15">
        <v>1</v>
      </c>
      <c r="D209" s="18">
        <v>10.685011843713486</v>
      </c>
      <c r="E209" s="18">
        <v>10.810526865819373</v>
      </c>
      <c r="F209" s="18">
        <v>-0.12551502210588694</v>
      </c>
      <c r="G209" s="18">
        <v>-0.60839935322292471</v>
      </c>
      <c r="H209" s="18">
        <v>3.4210646569454363E-2</v>
      </c>
      <c r="I209" s="18">
        <v>10.742926177380864</v>
      </c>
      <c r="J209" s="18">
        <v>10.878127554257881</v>
      </c>
      <c r="K209" s="18">
        <v>0.20912095646372289</v>
      </c>
      <c r="L209" s="18">
        <v>10.39730110011609</v>
      </c>
      <c r="M209" s="18">
        <v>11.223752631522656</v>
      </c>
    </row>
    <row r="210" spans="2:13" x14ac:dyDescent="0.15">
      <c r="B210" s="9" t="s">
        <v>329</v>
      </c>
      <c r="C210" s="15">
        <v>1</v>
      </c>
      <c r="D210" s="18">
        <v>11.523568625068709</v>
      </c>
      <c r="E210" s="18">
        <v>11.11932164438922</v>
      </c>
      <c r="F210" s="18">
        <v>0.40424698067948839</v>
      </c>
      <c r="G210" s="18">
        <v>1.9594754274132862</v>
      </c>
      <c r="H210" s="18">
        <v>3.6630314823005647E-2</v>
      </c>
      <c r="I210" s="18">
        <v>11.046939659596058</v>
      </c>
      <c r="J210" s="18">
        <v>11.191703629182383</v>
      </c>
      <c r="K210" s="18">
        <v>0.20953039411415869</v>
      </c>
      <c r="L210" s="18">
        <v>10.705286824493234</v>
      </c>
      <c r="M210" s="18">
        <v>11.533356464285207</v>
      </c>
    </row>
    <row r="211" spans="2:13" x14ac:dyDescent="0.15">
      <c r="B211" s="9" t="s">
        <v>330</v>
      </c>
      <c r="C211" s="15">
        <v>1</v>
      </c>
      <c r="D211" s="18">
        <v>11.271656129671937</v>
      </c>
      <c r="E211" s="18">
        <v>10.89072825182628</v>
      </c>
      <c r="F211" s="18">
        <v>0.38092787784565729</v>
      </c>
      <c r="G211" s="18">
        <v>1.8464425263006767</v>
      </c>
      <c r="H211" s="18">
        <v>7.1025252181952894E-2</v>
      </c>
      <c r="I211" s="18">
        <v>10.750381417566043</v>
      </c>
      <c r="J211" s="18">
        <v>11.031075086086517</v>
      </c>
      <c r="K211" s="18">
        <v>0.2181875169232011</v>
      </c>
      <c r="L211" s="18">
        <v>10.459586843178752</v>
      </c>
      <c r="M211" s="18">
        <v>11.321869660473808</v>
      </c>
    </row>
    <row r="212" spans="2:13" x14ac:dyDescent="0.15">
      <c r="B212" s="9" t="s">
        <v>331</v>
      </c>
      <c r="C212" s="15">
        <v>1</v>
      </c>
      <c r="D212" s="18">
        <v>9.6399776320553325</v>
      </c>
      <c r="E212" s="18">
        <v>9.8121635385373196</v>
      </c>
      <c r="F212" s="18">
        <v>-0.17218590648198706</v>
      </c>
      <c r="G212" s="18">
        <v>-0.83462355644863118</v>
      </c>
      <c r="H212" s="18">
        <v>4.0702099295797503E-2</v>
      </c>
      <c r="I212" s="18">
        <v>9.7317356539692099</v>
      </c>
      <c r="J212" s="18">
        <v>9.8925914231054293</v>
      </c>
      <c r="K212" s="18">
        <v>0.21028044840328622</v>
      </c>
      <c r="L212" s="18">
        <v>9.3966466014820345</v>
      </c>
      <c r="M212" s="18">
        <v>10.227680475592605</v>
      </c>
    </row>
    <row r="213" spans="2:13" x14ac:dyDescent="0.15">
      <c r="B213" s="9" t="s">
        <v>332</v>
      </c>
      <c r="C213" s="15">
        <v>1</v>
      </c>
      <c r="D213" s="18">
        <v>9.6071682866886832</v>
      </c>
      <c r="E213" s="18">
        <v>9.7176868510302796</v>
      </c>
      <c r="F213" s="18">
        <v>-0.11051856434159646</v>
      </c>
      <c r="G213" s="18">
        <v>-0.53570817210890487</v>
      </c>
      <c r="H213" s="18">
        <v>6.2141279403390912E-2</v>
      </c>
      <c r="I213" s="18">
        <v>9.5948948640507137</v>
      </c>
      <c r="J213" s="18">
        <v>9.8404788380098456</v>
      </c>
      <c r="K213" s="18">
        <v>0.21545938062542661</v>
      </c>
      <c r="L213" s="18">
        <v>9.2919362756576867</v>
      </c>
      <c r="M213" s="18">
        <v>10.143437426402873</v>
      </c>
    </row>
    <row r="214" spans="2:13" x14ac:dyDescent="0.15">
      <c r="B214" s="9" t="s">
        <v>333</v>
      </c>
      <c r="C214" s="15">
        <v>1</v>
      </c>
      <c r="D214" s="18">
        <v>9.7380231128085963</v>
      </c>
      <c r="E214" s="18">
        <v>9.7420583696416081</v>
      </c>
      <c r="F214" s="18">
        <v>-4.0352568330117577E-3</v>
      </c>
      <c r="G214" s="18">
        <v>-1.9559791378769103E-2</v>
      </c>
      <c r="H214" s="18">
        <v>5.6087911720532756E-2</v>
      </c>
      <c r="I214" s="18">
        <v>9.631227916972767</v>
      </c>
      <c r="J214" s="18">
        <v>9.8528888223104492</v>
      </c>
      <c r="K214" s="18">
        <v>0.21379209511759886</v>
      </c>
      <c r="L214" s="18">
        <v>9.3196023724034518</v>
      </c>
      <c r="M214" s="18">
        <v>10.164514366879764</v>
      </c>
    </row>
    <row r="215" spans="2:13" x14ac:dyDescent="0.15">
      <c r="B215" s="9" t="s">
        <v>334</v>
      </c>
      <c r="C215" s="15">
        <v>1</v>
      </c>
      <c r="D215" s="18">
        <v>9.7730940886025319</v>
      </c>
      <c r="E215" s="18">
        <v>9.8068689364597681</v>
      </c>
      <c r="F215" s="18">
        <v>-3.3774847857236168E-2</v>
      </c>
      <c r="G215" s="18">
        <v>-0.16371423313944022</v>
      </c>
      <c r="H215" s="18">
        <v>3.7253078737563873E-2</v>
      </c>
      <c r="I215" s="18">
        <v>9.7332563619648482</v>
      </c>
      <c r="J215" s="18">
        <v>9.880481510954688</v>
      </c>
      <c r="K215" s="18">
        <v>0.20964016306287611</v>
      </c>
      <c r="L215" s="18">
        <v>9.3926172116746152</v>
      </c>
      <c r="M215" s="18">
        <v>10.221120661244921</v>
      </c>
    </row>
    <row r="216" spans="2:13" x14ac:dyDescent="0.15">
      <c r="B216" s="9" t="s">
        <v>335</v>
      </c>
      <c r="C216" s="15">
        <v>1</v>
      </c>
      <c r="D216" s="18">
        <v>11.754796556077171</v>
      </c>
      <c r="E216" s="18">
        <v>12.021433690233936</v>
      </c>
      <c r="F216" s="18">
        <v>-0.26663713415676504</v>
      </c>
      <c r="G216" s="18">
        <v>-1.2924497581599157</v>
      </c>
      <c r="H216" s="18">
        <v>5.6135594920793723E-2</v>
      </c>
      <c r="I216" s="18">
        <v>11.910509014933025</v>
      </c>
      <c r="J216" s="18">
        <v>12.132358365534847</v>
      </c>
      <c r="K216" s="18">
        <v>0.21380460965730744</v>
      </c>
      <c r="L216" s="18">
        <v>11.598952964100404</v>
      </c>
      <c r="M216" s="18">
        <v>12.443914416367468</v>
      </c>
    </row>
    <row r="217" spans="2:13" x14ac:dyDescent="0.15">
      <c r="B217" s="9" t="s">
        <v>336</v>
      </c>
      <c r="C217" s="15">
        <v>1</v>
      </c>
      <c r="D217" s="18">
        <v>9.9569809249761274</v>
      </c>
      <c r="E217" s="18">
        <v>10.184326378314834</v>
      </c>
      <c r="F217" s="18">
        <v>-0.2273454533387067</v>
      </c>
      <c r="G217" s="18">
        <v>-1.1019942031540653</v>
      </c>
      <c r="H217" s="18">
        <v>3.8371589117300431E-2</v>
      </c>
      <c r="I217" s="18">
        <v>10.108503612570173</v>
      </c>
      <c r="J217" s="18">
        <v>10.260149144059495</v>
      </c>
      <c r="K217" s="18">
        <v>0.20984180933500618</v>
      </c>
      <c r="L217" s="18">
        <v>9.7696761978387201</v>
      </c>
      <c r="M217" s="18">
        <v>10.598976558790948</v>
      </c>
    </row>
    <row r="218" spans="2:13" x14ac:dyDescent="0.15">
      <c r="B218" s="9" t="s">
        <v>337</v>
      </c>
      <c r="C218" s="15">
        <v>1</v>
      </c>
      <c r="D218" s="18">
        <v>9.8195079387408537</v>
      </c>
      <c r="E218" s="18">
        <v>9.7655390193361882</v>
      </c>
      <c r="F218" s="18">
        <v>5.3968919404665527E-2</v>
      </c>
      <c r="G218" s="18">
        <v>0.26159940944948162</v>
      </c>
      <c r="H218" s="18">
        <v>3.3755833019758361E-2</v>
      </c>
      <c r="I218" s="18">
        <v>9.6988370484652702</v>
      </c>
      <c r="J218" s="18">
        <v>9.8322409902071062</v>
      </c>
      <c r="K218" s="18">
        <v>0.20904703383798576</v>
      </c>
      <c r="L218" s="18">
        <v>9.3524593257154915</v>
      </c>
      <c r="M218" s="18">
        <v>10.178618712956885</v>
      </c>
    </row>
    <row r="219" spans="2:13" x14ac:dyDescent="0.15">
      <c r="B219" s="9" t="s">
        <v>338</v>
      </c>
      <c r="C219" s="15">
        <v>1</v>
      </c>
      <c r="D219" s="18">
        <v>10.025882160749735</v>
      </c>
      <c r="E219" s="18">
        <v>9.8536567769502064</v>
      </c>
      <c r="F219" s="18">
        <v>0.17222538379952823</v>
      </c>
      <c r="G219" s="18">
        <v>0.83481491182630674</v>
      </c>
      <c r="H219" s="18">
        <v>3.4291709413284903E-2</v>
      </c>
      <c r="I219" s="18">
        <v>9.7858959072640666</v>
      </c>
      <c r="J219" s="18">
        <v>9.9214176466363462</v>
      </c>
      <c r="K219" s="18">
        <v>0.20913423303727041</v>
      </c>
      <c r="L219" s="18">
        <v>9.4404047765626391</v>
      </c>
      <c r="M219" s="18">
        <v>10.266908777337774</v>
      </c>
    </row>
    <row r="220" spans="2:13" x14ac:dyDescent="0.15">
      <c r="B220" s="9" t="s">
        <v>339</v>
      </c>
      <c r="C220" s="15">
        <v>1</v>
      </c>
      <c r="D220" s="18">
        <v>9.8855781319925597</v>
      </c>
      <c r="E220" s="18">
        <v>9.874890659181478</v>
      </c>
      <c r="F220" s="18">
        <v>1.0687472811081733E-2</v>
      </c>
      <c r="G220" s="18">
        <v>5.180456838356999E-2</v>
      </c>
      <c r="H220" s="18">
        <v>3.2840801104004828E-2</v>
      </c>
      <c r="I220" s="18">
        <v>9.8099968034340943</v>
      </c>
      <c r="J220" s="18">
        <v>9.9397845149288617</v>
      </c>
      <c r="K220" s="18">
        <v>0.20890123099387176</v>
      </c>
      <c r="L220" s="18">
        <v>9.4620990739020954</v>
      </c>
      <c r="M220" s="18">
        <v>10.287682244460861</v>
      </c>
    </row>
    <row r="221" spans="2:13" x14ac:dyDescent="0.15">
      <c r="B221" s="9" t="s">
        <v>340</v>
      </c>
      <c r="C221" s="15">
        <v>1</v>
      </c>
      <c r="D221" s="18">
        <v>11.258020312032384</v>
      </c>
      <c r="E221" s="18">
        <v>11.144768036387244</v>
      </c>
      <c r="F221" s="18">
        <v>0.11325227564513973</v>
      </c>
      <c r="G221" s="18">
        <v>0.54895908153049444</v>
      </c>
      <c r="H221" s="18">
        <v>3.693917821670438E-2</v>
      </c>
      <c r="I221" s="18">
        <v>11.071775733458027</v>
      </c>
      <c r="J221" s="18">
        <v>11.217760339316461</v>
      </c>
      <c r="K221" s="18">
        <v>0.20958461055365588</v>
      </c>
      <c r="L221" s="18">
        <v>10.730626084092364</v>
      </c>
      <c r="M221" s="18">
        <v>11.558909988682124</v>
      </c>
    </row>
    <row r="222" spans="2:13" x14ac:dyDescent="0.15">
      <c r="B222" s="9" t="s">
        <v>341</v>
      </c>
      <c r="C222" s="15">
        <v>1</v>
      </c>
      <c r="D222" s="18">
        <v>10.0853089842884</v>
      </c>
      <c r="E222" s="18">
        <v>9.8704326636728084</v>
      </c>
      <c r="F222" s="18">
        <v>0.21487632061559125</v>
      </c>
      <c r="G222" s="18">
        <v>1.0415535311395683</v>
      </c>
      <c r="H222" s="18">
        <v>3.5465926471362617E-2</v>
      </c>
      <c r="I222" s="18">
        <v>9.8003515256064393</v>
      </c>
      <c r="J222" s="18">
        <v>9.9405138017391774</v>
      </c>
      <c r="K222" s="18">
        <v>0.20932997404594081</v>
      </c>
      <c r="L222" s="18">
        <v>9.4567938764726929</v>
      </c>
      <c r="M222" s="18">
        <v>10.284071450872924</v>
      </c>
    </row>
    <row r="223" spans="2:13" x14ac:dyDescent="0.15">
      <c r="B223" s="9" t="s">
        <v>342</v>
      </c>
      <c r="C223" s="15">
        <v>1</v>
      </c>
      <c r="D223" s="18">
        <v>9.855661923053523</v>
      </c>
      <c r="E223" s="18">
        <v>9.781035445477098</v>
      </c>
      <c r="F223" s="18">
        <v>7.4626477576424932E-2</v>
      </c>
      <c r="G223" s="18">
        <v>0.36173120897432826</v>
      </c>
      <c r="H223" s="18">
        <v>3.712888148752061E-2</v>
      </c>
      <c r="I223" s="18">
        <v>9.707668286384898</v>
      </c>
      <c r="J223" s="18">
        <v>9.8544026045692981</v>
      </c>
      <c r="K223" s="18">
        <v>0.20961812882982356</v>
      </c>
      <c r="L223" s="18">
        <v>9.3668272606268168</v>
      </c>
      <c r="M223" s="18">
        <v>10.195243630327379</v>
      </c>
    </row>
    <row r="224" spans="2:13" x14ac:dyDescent="0.15">
      <c r="B224" s="9" t="s">
        <v>343</v>
      </c>
      <c r="C224" s="15">
        <v>1</v>
      </c>
      <c r="D224" s="18">
        <v>10.541518350537407</v>
      </c>
      <c r="E224" s="18">
        <v>10.225571444111338</v>
      </c>
      <c r="F224" s="18">
        <v>0.31594690642606871</v>
      </c>
      <c r="G224" s="18">
        <v>1.5314652405529749</v>
      </c>
      <c r="H224" s="18">
        <v>3.3027646472941451E-2</v>
      </c>
      <c r="I224" s="18">
        <v>10.160308379452745</v>
      </c>
      <c r="J224" s="18">
        <v>10.290834508769931</v>
      </c>
      <c r="K224" s="18">
        <v>0.20893068593469885</v>
      </c>
      <c r="L224" s="18">
        <v>9.8127216554807326</v>
      </c>
      <c r="M224" s="18">
        <v>10.638421232741944</v>
      </c>
    </row>
    <row r="225" spans="2:13" x14ac:dyDescent="0.15">
      <c r="B225" s="9" t="s">
        <v>344</v>
      </c>
      <c r="C225" s="15">
        <v>1</v>
      </c>
      <c r="D225" s="18">
        <v>9.9220639381090638</v>
      </c>
      <c r="E225" s="18">
        <v>9.9769279876562109</v>
      </c>
      <c r="F225" s="18">
        <v>-5.4864049547147076E-2</v>
      </c>
      <c r="G225" s="18">
        <v>-0.26593830522943607</v>
      </c>
      <c r="H225" s="18">
        <v>3.3024086007743446E-2</v>
      </c>
      <c r="I225" s="18">
        <v>9.9116719585237689</v>
      </c>
      <c r="J225" s="18">
        <v>10.042184016788653</v>
      </c>
      <c r="K225" s="18">
        <v>0.20893012312792283</v>
      </c>
      <c r="L225" s="18">
        <v>9.5640793111392117</v>
      </c>
      <c r="M225" s="18">
        <v>10.38977666417321</v>
      </c>
    </row>
    <row r="226" spans="2:13" x14ac:dyDescent="0.15">
      <c r="B226" s="9" t="s">
        <v>345</v>
      </c>
      <c r="C226" s="15">
        <v>1</v>
      </c>
      <c r="D226" s="18">
        <v>10.017128689025176</v>
      </c>
      <c r="E226" s="18">
        <v>9.8859887557785662</v>
      </c>
      <c r="F226" s="18">
        <v>0.13113993324660989</v>
      </c>
      <c r="G226" s="18">
        <v>0.6356645541728575</v>
      </c>
      <c r="H226" s="18">
        <v>3.9809474431148927E-2</v>
      </c>
      <c r="I226" s="18">
        <v>9.8073247097057354</v>
      </c>
      <c r="J226" s="18">
        <v>9.9646528018513969</v>
      </c>
      <c r="K226" s="18">
        <v>0.21010949609212445</v>
      </c>
      <c r="L226" s="18">
        <v>9.4708096227428928</v>
      </c>
      <c r="M226" s="18">
        <v>10.30116788881424</v>
      </c>
    </row>
    <row r="227" spans="2:13" x14ac:dyDescent="0.15">
      <c r="B227" s="9" t="s">
        <v>346</v>
      </c>
      <c r="C227" s="15">
        <v>1</v>
      </c>
      <c r="D227" s="18">
        <v>10.971262555384069</v>
      </c>
      <c r="E227" s="18">
        <v>10.685854515787758</v>
      </c>
      <c r="F227" s="18">
        <v>0.28540803959631056</v>
      </c>
      <c r="G227" s="18">
        <v>1.383436530398173</v>
      </c>
      <c r="H227" s="18">
        <v>3.731640443370355E-2</v>
      </c>
      <c r="I227" s="18">
        <v>10.612116808882782</v>
      </c>
      <c r="J227" s="18">
        <v>10.759592222692735</v>
      </c>
      <c r="K227" s="18">
        <v>0.20965142530748959</v>
      </c>
      <c r="L227" s="18">
        <v>10.271580536658838</v>
      </c>
      <c r="M227" s="18">
        <v>11.100128494916678</v>
      </c>
    </row>
    <row r="228" spans="2:13" x14ac:dyDescent="0.15">
      <c r="B228" s="9" t="s">
        <v>347</v>
      </c>
      <c r="C228" s="15">
        <v>1</v>
      </c>
      <c r="D228" s="18">
        <v>9.9094696242136759</v>
      </c>
      <c r="E228" s="18">
        <v>9.9334508803257897</v>
      </c>
      <c r="F228" s="18">
        <v>-2.3981256112113769E-2</v>
      </c>
      <c r="G228" s="18">
        <v>-0.11624250598286764</v>
      </c>
      <c r="H228" s="18">
        <v>4.1512982129099561E-2</v>
      </c>
      <c r="I228" s="18">
        <v>9.8514206805935132</v>
      </c>
      <c r="J228" s="18">
        <v>10.015481080058066</v>
      </c>
      <c r="K228" s="18">
        <v>0.21043890747400562</v>
      </c>
      <c r="L228" s="18">
        <v>9.5176208260586392</v>
      </c>
      <c r="M228" s="18">
        <v>10.34928093459294</v>
      </c>
    </row>
    <row r="229" spans="2:13" x14ac:dyDescent="0.15">
      <c r="B229" s="9" t="s">
        <v>348</v>
      </c>
      <c r="C229" s="15">
        <v>1</v>
      </c>
      <c r="D229" s="18">
        <v>9.8220063106682449</v>
      </c>
      <c r="E229" s="18">
        <v>9.8872888702973754</v>
      </c>
      <c r="F229" s="18">
        <v>-6.5282559629130432E-2</v>
      </c>
      <c r="G229" s="18">
        <v>-0.31643915117660731</v>
      </c>
      <c r="H229" s="18">
        <v>3.4805145946061454E-2</v>
      </c>
      <c r="I229" s="18">
        <v>9.8185134432565633</v>
      </c>
      <c r="J229" s="18">
        <v>9.9560642973381874</v>
      </c>
      <c r="K229" s="18">
        <v>0.20921903421517077</v>
      </c>
      <c r="L229" s="18">
        <v>9.4738693016647932</v>
      </c>
      <c r="M229" s="18">
        <v>10.300708438929957</v>
      </c>
    </row>
    <row r="230" spans="2:13" x14ac:dyDescent="0.15">
      <c r="B230" s="9" t="s">
        <v>349</v>
      </c>
      <c r="C230" s="15">
        <v>1</v>
      </c>
      <c r="D230" s="18">
        <v>11.931629220859403</v>
      </c>
      <c r="E230" s="18">
        <v>11.409394665107001</v>
      </c>
      <c r="F230" s="18">
        <v>0.52223455575240152</v>
      </c>
      <c r="G230" s="18">
        <v>2.5313875631745626</v>
      </c>
      <c r="H230" s="18">
        <v>7.630334553885669E-2</v>
      </c>
      <c r="I230" s="18">
        <v>11.258618248820449</v>
      </c>
      <c r="J230" s="18">
        <v>11.560171081393554</v>
      </c>
      <c r="K230" s="18">
        <v>0.21996228457175179</v>
      </c>
      <c r="L230" s="18">
        <v>10.974746292198601</v>
      </c>
      <c r="M230" s="18">
        <v>11.844043038015402</v>
      </c>
    </row>
    <row r="231" spans="2:13" x14ac:dyDescent="0.15">
      <c r="B231" s="9" t="s">
        <v>350</v>
      </c>
      <c r="C231" s="15">
        <v>1</v>
      </c>
      <c r="D231" s="18">
        <v>9.9837763837649316</v>
      </c>
      <c r="E231" s="18">
        <v>10.047599833670905</v>
      </c>
      <c r="F231" s="18">
        <v>-6.3823449905973106E-2</v>
      </c>
      <c r="G231" s="18">
        <v>-0.30936652037149703</v>
      </c>
      <c r="H231" s="18">
        <v>3.5123055293630155E-2</v>
      </c>
      <c r="I231" s="18">
        <v>9.9781962135699853</v>
      </c>
      <c r="J231" s="18">
        <v>10.117003453771824</v>
      </c>
      <c r="K231" s="18">
        <v>0.20927215559352744</v>
      </c>
      <c r="L231" s="18">
        <v>9.6340752964946716</v>
      </c>
      <c r="M231" s="18">
        <v>10.461124370847138</v>
      </c>
    </row>
    <row r="232" spans="2:13" x14ac:dyDescent="0.15">
      <c r="B232" s="9" t="s">
        <v>351</v>
      </c>
      <c r="C232" s="15">
        <v>1</v>
      </c>
      <c r="D232" s="18">
        <v>9.7878522089372044</v>
      </c>
      <c r="E232" s="18">
        <v>9.8631033722029198</v>
      </c>
      <c r="F232" s="18">
        <v>-7.5251163265715348E-2</v>
      </c>
      <c r="G232" s="18">
        <v>-0.3647592000701772</v>
      </c>
      <c r="H232" s="18">
        <v>3.5136237424646083E-2</v>
      </c>
      <c r="I232" s="18">
        <v>9.7936737040374027</v>
      </c>
      <c r="J232" s="18">
        <v>9.9325330403684369</v>
      </c>
      <c r="K232" s="18">
        <v>0.2092743684113352</v>
      </c>
      <c r="L232" s="18">
        <v>9.4495744624695401</v>
      </c>
      <c r="M232" s="18">
        <v>10.276632281936299</v>
      </c>
    </row>
    <row r="233" spans="2:13" x14ac:dyDescent="0.15">
      <c r="B233" s="9" t="s">
        <v>352</v>
      </c>
      <c r="C233" s="15">
        <v>1</v>
      </c>
      <c r="D233" s="18">
        <v>10.937667981044848</v>
      </c>
      <c r="E233" s="18">
        <v>10.646955793336963</v>
      </c>
      <c r="F233" s="18">
        <v>0.29071218770788576</v>
      </c>
      <c r="G233" s="18">
        <v>1.40914692128476</v>
      </c>
      <c r="H233" s="18">
        <v>3.4971928151006249E-2</v>
      </c>
      <c r="I233" s="18">
        <v>10.577850802461375</v>
      </c>
      <c r="J233" s="18">
        <v>10.71606078421255</v>
      </c>
      <c r="K233" s="18">
        <v>0.20924684430643464</v>
      </c>
      <c r="L233" s="18">
        <v>10.23348127159757</v>
      </c>
      <c r="M233" s="18">
        <v>11.060430315076355</v>
      </c>
    </row>
    <row r="234" spans="2:13" x14ac:dyDescent="0.15">
      <c r="B234" s="9" t="s">
        <v>353</v>
      </c>
      <c r="C234" s="15">
        <v>1</v>
      </c>
      <c r="D234" s="18">
        <v>9.9097677904932784</v>
      </c>
      <c r="E234" s="18">
        <v>9.9389101480913862</v>
      </c>
      <c r="F234" s="18">
        <v>-2.9142357598107793E-2</v>
      </c>
      <c r="G234" s="18">
        <v>-0.14125951791748423</v>
      </c>
      <c r="H234" s="18">
        <v>4.4430978575270508E-2</v>
      </c>
      <c r="I234" s="18">
        <v>9.8511139489290258</v>
      </c>
      <c r="J234" s="18">
        <v>10.026706347253747</v>
      </c>
      <c r="K234" s="18">
        <v>0.21103392606583024</v>
      </c>
      <c r="L234" s="18">
        <v>9.5219043292458192</v>
      </c>
      <c r="M234" s="18">
        <v>10.355915966936953</v>
      </c>
    </row>
    <row r="235" spans="2:13" x14ac:dyDescent="0.15">
      <c r="B235" s="9" t="s">
        <v>354</v>
      </c>
      <c r="C235" s="15">
        <v>1</v>
      </c>
      <c r="D235" s="18">
        <v>9.9778990500499383</v>
      </c>
      <c r="E235" s="18">
        <v>9.9572168364419849</v>
      </c>
      <c r="F235" s="18">
        <v>2.0682213607953415E-2</v>
      </c>
      <c r="G235" s="18">
        <v>0.10025130993230376</v>
      </c>
      <c r="H235" s="18">
        <v>5.6994596929199774E-2</v>
      </c>
      <c r="I235" s="18">
        <v>9.844594761852802</v>
      </c>
      <c r="J235" s="18">
        <v>10.069838911031168</v>
      </c>
      <c r="K235" s="18">
        <v>0.21403175038466629</v>
      </c>
      <c r="L235" s="18">
        <v>9.5342872772380005</v>
      </c>
      <c r="M235" s="18">
        <v>10.380146395645969</v>
      </c>
    </row>
    <row r="236" spans="2:13" x14ac:dyDescent="0.15">
      <c r="B236" s="9" t="s">
        <v>355</v>
      </c>
      <c r="C236" s="15">
        <v>1</v>
      </c>
      <c r="D236" s="18">
        <v>9.9322207713590007</v>
      </c>
      <c r="E236" s="18">
        <v>9.9494079323092528</v>
      </c>
      <c r="F236" s="18">
        <v>-1.7187160950252078E-2</v>
      </c>
      <c r="G236" s="18">
        <v>-8.3310008877265945E-2</v>
      </c>
      <c r="H236" s="18">
        <v>3.2590313900344073E-2</v>
      </c>
      <c r="I236" s="18">
        <v>9.8850090425771455</v>
      </c>
      <c r="J236" s="18">
        <v>10.01380682204136</v>
      </c>
      <c r="K236" s="18">
        <v>0.20886199906571112</v>
      </c>
      <c r="L236" s="18">
        <v>9.5366938698369008</v>
      </c>
      <c r="M236" s="18">
        <v>10.362121994781605</v>
      </c>
    </row>
    <row r="237" spans="2:13" x14ac:dyDescent="0.15">
      <c r="B237" s="9" t="s">
        <v>356</v>
      </c>
      <c r="C237" s="15">
        <v>1</v>
      </c>
      <c r="D237" s="18">
        <v>9.9426121072201781</v>
      </c>
      <c r="E237" s="18">
        <v>10.000285940919495</v>
      </c>
      <c r="F237" s="18">
        <v>-5.7673833699317001E-2</v>
      </c>
      <c r="G237" s="18">
        <v>-0.2795579567436115</v>
      </c>
      <c r="H237" s="18">
        <v>3.7813235053745363E-2</v>
      </c>
      <c r="I237" s="18">
        <v>9.925566490162236</v>
      </c>
      <c r="J237" s="18">
        <v>10.075005391676754</v>
      </c>
      <c r="K237" s="18">
        <v>0.20974042728771189</v>
      </c>
      <c r="L237" s="18">
        <v>9.585836092704815</v>
      </c>
      <c r="M237" s="18">
        <v>10.414735789134175</v>
      </c>
    </row>
    <row r="238" spans="2:13" x14ac:dyDescent="0.15">
      <c r="B238" s="9" t="s">
        <v>357</v>
      </c>
      <c r="C238" s="15">
        <v>1</v>
      </c>
      <c r="D238" s="18">
        <v>9.8173303560849536</v>
      </c>
      <c r="E238" s="18">
        <v>9.6945441881930154</v>
      </c>
      <c r="F238" s="18">
        <v>0.12278616789193819</v>
      </c>
      <c r="G238" s="18">
        <v>0.59517198719971298</v>
      </c>
      <c r="H238" s="18">
        <v>5.2852089408855656E-2</v>
      </c>
      <c r="I238" s="18">
        <v>9.5901077630527087</v>
      </c>
      <c r="J238" s="18">
        <v>9.7989806133333222</v>
      </c>
      <c r="K238" s="18">
        <v>0.21296607581604124</v>
      </c>
      <c r="L238" s="18">
        <v>9.2737204159797635</v>
      </c>
      <c r="M238" s="18">
        <v>10.115367960406267</v>
      </c>
    </row>
    <row r="239" spans="2:13" x14ac:dyDescent="0.15">
      <c r="B239" s="9" t="s">
        <v>358</v>
      </c>
      <c r="C239" s="15">
        <v>1</v>
      </c>
      <c r="D239" s="18">
        <v>9.877605482822025</v>
      </c>
      <c r="E239" s="18">
        <v>9.7218797283602907</v>
      </c>
      <c r="F239" s="18">
        <v>0.15572575446173431</v>
      </c>
      <c r="G239" s="18">
        <v>0.75483752227477363</v>
      </c>
      <c r="H239" s="18">
        <v>3.9930900810749945E-2</v>
      </c>
      <c r="I239" s="18">
        <v>9.6429757421612496</v>
      </c>
      <c r="J239" s="18">
        <v>9.8007837145593317</v>
      </c>
      <c r="K239" s="18">
        <v>0.21013253658860187</v>
      </c>
      <c r="L239" s="18">
        <v>9.3066550669999586</v>
      </c>
      <c r="M239" s="18">
        <v>10.137104389720623</v>
      </c>
    </row>
    <row r="240" spans="2:13" x14ac:dyDescent="0.15">
      <c r="B240" s="9" t="s">
        <v>359</v>
      </c>
      <c r="C240" s="15">
        <v>1</v>
      </c>
      <c r="D240" s="18">
        <v>9.9470258545506116</v>
      </c>
      <c r="E240" s="18">
        <v>9.8244223370830461</v>
      </c>
      <c r="F240" s="18">
        <v>0.12260351746756548</v>
      </c>
      <c r="G240" s="18">
        <v>0.59428663978718976</v>
      </c>
      <c r="H240" s="18">
        <v>3.6682250926300036E-2</v>
      </c>
      <c r="I240" s="18">
        <v>9.7519377258653765</v>
      </c>
      <c r="J240" s="18">
        <v>9.8969069483007157</v>
      </c>
      <c r="K240" s="18">
        <v>0.20953947987580335</v>
      </c>
      <c r="L240" s="18">
        <v>9.4103695636023197</v>
      </c>
      <c r="M240" s="18">
        <v>10.238475110563773</v>
      </c>
    </row>
    <row r="241" spans="2:13" x14ac:dyDescent="0.15">
      <c r="B241" s="9" t="s">
        <v>360</v>
      </c>
      <c r="C241" s="15">
        <v>1</v>
      </c>
      <c r="D241" s="18">
        <v>10.727838418711418</v>
      </c>
      <c r="E241" s="18">
        <v>10.708152241259329</v>
      </c>
      <c r="F241" s="18">
        <v>1.9686177452088671E-2</v>
      </c>
      <c r="G241" s="18">
        <v>9.5423300162257793E-2</v>
      </c>
      <c r="H241" s="18">
        <v>3.5802896341443763E-2</v>
      </c>
      <c r="I241" s="18">
        <v>10.637405246289196</v>
      </c>
      <c r="J241" s="18">
        <v>10.778899236229462</v>
      </c>
      <c r="K241" s="18">
        <v>0.2093873288430757</v>
      </c>
      <c r="L241" s="18">
        <v>10.294400120224273</v>
      </c>
      <c r="M241" s="18">
        <v>11.121904362294385</v>
      </c>
    </row>
    <row r="242" spans="2:13" x14ac:dyDescent="0.15">
      <c r="B242" s="9" t="s">
        <v>361</v>
      </c>
      <c r="C242" s="15">
        <v>1</v>
      </c>
      <c r="D242" s="18">
        <v>9.8295180323359528</v>
      </c>
      <c r="E242" s="18">
        <v>10.014660678725052</v>
      </c>
      <c r="F242" s="18">
        <v>-0.1851426463890995</v>
      </c>
      <c r="G242" s="18">
        <v>-0.89742776941936808</v>
      </c>
      <c r="H242" s="18">
        <v>3.2336223245511157E-2</v>
      </c>
      <c r="I242" s="18">
        <v>9.9507638754752232</v>
      </c>
      <c r="J242" s="18">
        <v>10.078557481974881</v>
      </c>
      <c r="K242" s="18">
        <v>0.20882250220554702</v>
      </c>
      <c r="L242" s="18">
        <v>9.6020246625688621</v>
      </c>
      <c r="M242" s="18">
        <v>10.427296694881242</v>
      </c>
    </row>
    <row r="243" spans="2:13" x14ac:dyDescent="0.15">
      <c r="B243" s="9" t="s">
        <v>362</v>
      </c>
      <c r="C243" s="15">
        <v>1</v>
      </c>
      <c r="D243" s="18">
        <v>9.7006367044896802</v>
      </c>
      <c r="E243" s="18">
        <v>9.8760521451241168</v>
      </c>
      <c r="F243" s="18">
        <v>-0.17541544063443659</v>
      </c>
      <c r="G243" s="18">
        <v>-0.85027782998972223</v>
      </c>
      <c r="H243" s="18">
        <v>3.9904735561332165E-2</v>
      </c>
      <c r="I243" s="18">
        <v>9.7971998618027225</v>
      </c>
      <c r="J243" s="18">
        <v>9.954904428445511</v>
      </c>
      <c r="K243" s="18">
        <v>0.21012756604934538</v>
      </c>
      <c r="L243" s="18">
        <v>9.4608373056148558</v>
      </c>
      <c r="M243" s="18">
        <v>10.291266984633378</v>
      </c>
    </row>
    <row r="244" spans="2:13" x14ac:dyDescent="0.15">
      <c r="B244" s="9" t="s">
        <v>363</v>
      </c>
      <c r="C244" s="15">
        <v>1</v>
      </c>
      <c r="D244" s="18">
        <v>9.8755509338431047</v>
      </c>
      <c r="E244" s="18">
        <v>9.7016449212375111</v>
      </c>
      <c r="F244" s="18">
        <v>0.17390601260559357</v>
      </c>
      <c r="G244" s="18">
        <v>0.84296129511543505</v>
      </c>
      <c r="H244" s="18">
        <v>4.4526724180540267E-2</v>
      </c>
      <c r="I244" s="18">
        <v>9.6136595274974326</v>
      </c>
      <c r="J244" s="18">
        <v>9.7896303149775896</v>
      </c>
      <c r="K244" s="18">
        <v>0.21105410505330632</v>
      </c>
      <c r="L244" s="18">
        <v>9.2845992284467798</v>
      </c>
      <c r="M244" s="18">
        <v>10.118690614028242</v>
      </c>
    </row>
    <row r="245" spans="2:13" x14ac:dyDescent="0.15">
      <c r="B245" s="9" t="s">
        <v>364</v>
      </c>
      <c r="C245" s="15">
        <v>1</v>
      </c>
      <c r="D245" s="18">
        <v>11.638650214899393</v>
      </c>
      <c r="E245" s="18">
        <v>11.543362336550071</v>
      </c>
      <c r="F245" s="18">
        <v>9.5287878349321176E-2</v>
      </c>
      <c r="G245" s="18">
        <v>0.46188163444535346</v>
      </c>
      <c r="H245" s="18">
        <v>4.6692258337041166E-2</v>
      </c>
      <c r="I245" s="18">
        <v>11.45109781878001</v>
      </c>
      <c r="J245" s="18">
        <v>11.635626854320133</v>
      </c>
      <c r="K245" s="18">
        <v>0.21152156647069145</v>
      </c>
      <c r="L245" s="18">
        <v>11.125392933838526</v>
      </c>
      <c r="M245" s="18">
        <v>11.961331739261617</v>
      </c>
    </row>
    <row r="246" spans="2:13" x14ac:dyDescent="0.15">
      <c r="B246" s="9" t="s">
        <v>365</v>
      </c>
      <c r="C246" s="15">
        <v>1</v>
      </c>
      <c r="D246" s="18">
        <v>9.8379351842958922</v>
      </c>
      <c r="E246" s="18">
        <v>9.8517384112544981</v>
      </c>
      <c r="F246" s="18">
        <v>-1.3803226958605919E-2</v>
      </c>
      <c r="G246" s="18">
        <v>-6.6907324821410361E-2</v>
      </c>
      <c r="H246" s="18">
        <v>5.0036592183326782E-2</v>
      </c>
      <c r="I246" s="18">
        <v>9.752865445733585</v>
      </c>
      <c r="J246" s="18">
        <v>9.9506113767754112</v>
      </c>
      <c r="K246" s="18">
        <v>0.21228487146031561</v>
      </c>
      <c r="L246" s="18">
        <v>9.4322607078248595</v>
      </c>
      <c r="M246" s="18">
        <v>10.271216114684137</v>
      </c>
    </row>
    <row r="247" spans="2:13" x14ac:dyDescent="0.15">
      <c r="B247" s="9" t="s">
        <v>366</v>
      </c>
      <c r="C247" s="15">
        <v>1</v>
      </c>
      <c r="D247" s="18">
        <v>9.6418630144036364</v>
      </c>
      <c r="E247" s="18">
        <v>9.8281055087391067</v>
      </c>
      <c r="F247" s="18">
        <v>-0.18624249433547035</v>
      </c>
      <c r="G247" s="18">
        <v>-0.90275897813039463</v>
      </c>
      <c r="H247" s="18">
        <v>3.9247992331426389E-2</v>
      </c>
      <c r="I247" s="18">
        <v>9.7505509586943635</v>
      </c>
      <c r="J247" s="18">
        <v>9.9056600587838499</v>
      </c>
      <c r="K247" s="18">
        <v>0.21000383566889883</v>
      </c>
      <c r="L247" s="18">
        <v>9.4131351620920878</v>
      </c>
      <c r="M247" s="18">
        <v>10.243075855386126</v>
      </c>
    </row>
    <row r="248" spans="2:13" x14ac:dyDescent="0.15">
      <c r="B248" s="9" t="s">
        <v>367</v>
      </c>
      <c r="C248" s="15">
        <v>1</v>
      </c>
      <c r="D248" s="18">
        <v>9.8900983154171112</v>
      </c>
      <c r="E248" s="18">
        <v>9.7705660345665475</v>
      </c>
      <c r="F248" s="18">
        <v>0.11953228085056367</v>
      </c>
      <c r="G248" s="18">
        <v>0.57939966976536927</v>
      </c>
      <c r="H248" s="18">
        <v>5.9119211798670843E-2</v>
      </c>
      <c r="I248" s="18">
        <v>9.6537456929977754</v>
      </c>
      <c r="J248" s="18">
        <v>9.8873863761353196</v>
      </c>
      <c r="K248" s="18">
        <v>0.21460728621670389</v>
      </c>
      <c r="L248" s="18">
        <v>9.346499208974226</v>
      </c>
      <c r="M248" s="18">
        <v>10.194632860158869</v>
      </c>
    </row>
    <row r="249" spans="2:13" x14ac:dyDescent="0.15">
      <c r="B249" s="9" t="s">
        <v>368</v>
      </c>
      <c r="C249" s="15">
        <v>1</v>
      </c>
      <c r="D249" s="18">
        <v>10.905845882847675</v>
      </c>
      <c r="E249" s="18">
        <v>10.715266898877518</v>
      </c>
      <c r="F249" s="18">
        <v>0.19057898397015727</v>
      </c>
      <c r="G249" s="18">
        <v>0.92377891219673847</v>
      </c>
      <c r="H249" s="18">
        <v>5.0156674867723343E-2</v>
      </c>
      <c r="I249" s="18">
        <v>10.616156648389824</v>
      </c>
      <c r="J249" s="18">
        <v>10.814377149365212</v>
      </c>
      <c r="K249" s="18">
        <v>0.21231320761410175</v>
      </c>
      <c r="L249" s="18">
        <v>10.295733202834592</v>
      </c>
      <c r="M249" s="18">
        <v>11.134800594920444</v>
      </c>
    </row>
    <row r="250" spans="2:13" x14ac:dyDescent="0.15">
      <c r="B250" s="9" t="s">
        <v>369</v>
      </c>
      <c r="C250" s="15">
        <v>1</v>
      </c>
      <c r="D250" s="18">
        <v>9.8300024632736509</v>
      </c>
      <c r="E250" s="18">
        <v>10.044322744020389</v>
      </c>
      <c r="F250" s="18">
        <v>-0.21432028074673859</v>
      </c>
      <c r="G250" s="18">
        <v>-1.0388582816714151</v>
      </c>
      <c r="H250" s="18">
        <v>4.9490000150621022E-2</v>
      </c>
      <c r="I250" s="18">
        <v>9.9465298515589229</v>
      </c>
      <c r="J250" s="18">
        <v>10.142115636481856</v>
      </c>
      <c r="K250" s="18">
        <v>0.21215670201176917</v>
      </c>
      <c r="L250" s="18">
        <v>9.6250983051100558</v>
      </c>
      <c r="M250" s="18">
        <v>10.463547182930723</v>
      </c>
    </row>
    <row r="251" spans="2:13" x14ac:dyDescent="0.15">
      <c r="B251" s="9" t="s">
        <v>370</v>
      </c>
      <c r="C251" s="15">
        <v>1</v>
      </c>
      <c r="D251" s="18">
        <v>9.613603056529147</v>
      </c>
      <c r="E251" s="18">
        <v>9.7325910643675186</v>
      </c>
      <c r="F251" s="18">
        <v>-0.1189880078383716</v>
      </c>
      <c r="G251" s="18">
        <v>-0.57676145688026148</v>
      </c>
      <c r="H251" s="18">
        <v>6.5422981367807956E-2</v>
      </c>
      <c r="I251" s="18">
        <v>9.6033143910610157</v>
      </c>
      <c r="J251" s="18">
        <v>9.8618677376740216</v>
      </c>
      <c r="K251" s="18">
        <v>0.21642867782402292</v>
      </c>
      <c r="L251" s="18">
        <v>9.3049251449574015</v>
      </c>
      <c r="M251" s="18">
        <v>10.160256983777636</v>
      </c>
    </row>
    <row r="252" spans="2:13" x14ac:dyDescent="0.15">
      <c r="B252" s="9" t="s">
        <v>371</v>
      </c>
      <c r="C252" s="15">
        <v>1</v>
      </c>
      <c r="D252" s="18">
        <v>10.875175147630571</v>
      </c>
      <c r="E252" s="18">
        <v>10.719179859288275</v>
      </c>
      <c r="F252" s="18">
        <v>0.15599528834229659</v>
      </c>
      <c r="G252" s="18">
        <v>0.75614401320991775</v>
      </c>
      <c r="H252" s="18">
        <v>5.6808059042359769E-2</v>
      </c>
      <c r="I252" s="18">
        <v>10.606926386021627</v>
      </c>
      <c r="J252" s="18">
        <v>10.831433332554923</v>
      </c>
      <c r="K252" s="18">
        <v>0.21398215268045695</v>
      </c>
      <c r="L252" s="18">
        <v>10.296348305801391</v>
      </c>
      <c r="M252" s="18">
        <v>11.142011412775158</v>
      </c>
    </row>
    <row r="253" spans="2:13" x14ac:dyDescent="0.15">
      <c r="B253" s="9" t="s">
        <v>372</v>
      </c>
      <c r="C253" s="15">
        <v>1</v>
      </c>
      <c r="D253" s="18">
        <v>9.8747279308647027</v>
      </c>
      <c r="E253" s="18">
        <v>9.7010134033446054</v>
      </c>
      <c r="F253" s="18">
        <v>0.17371452752009731</v>
      </c>
      <c r="G253" s="18">
        <v>0.84203312412671083</v>
      </c>
      <c r="H253" s="18">
        <v>5.3521508525788686E-2</v>
      </c>
      <c r="I253" s="18">
        <v>9.5952541972078436</v>
      </c>
      <c r="J253" s="18">
        <v>9.8067726094813672</v>
      </c>
      <c r="K253" s="18">
        <v>0.2131331930237011</v>
      </c>
      <c r="L253" s="18">
        <v>9.279859405326798</v>
      </c>
      <c r="M253" s="18">
        <v>10.122167401362413</v>
      </c>
    </row>
    <row r="254" spans="2:13" x14ac:dyDescent="0.15">
      <c r="B254" s="9" t="s">
        <v>373</v>
      </c>
      <c r="C254" s="15">
        <v>1</v>
      </c>
      <c r="D254" s="18">
        <v>9.6606513678761825</v>
      </c>
      <c r="E254" s="18">
        <v>9.7351064613610525</v>
      </c>
      <c r="F254" s="18">
        <v>-7.4455093484870005E-2</v>
      </c>
      <c r="G254" s="18">
        <v>-0.36090047199396308</v>
      </c>
      <c r="H254" s="18">
        <v>5.2382682747706737E-2</v>
      </c>
      <c r="I254" s="18">
        <v>9.6315975899688713</v>
      </c>
      <c r="J254" s="18">
        <v>9.8386153327532337</v>
      </c>
      <c r="K254" s="18">
        <v>0.21285006822984354</v>
      </c>
      <c r="L254" s="18">
        <v>9.3145119216668384</v>
      </c>
      <c r="M254" s="18">
        <v>10.155701001055267</v>
      </c>
    </row>
    <row r="255" spans="2:13" x14ac:dyDescent="0.15">
      <c r="B255" s="9" t="s">
        <v>374</v>
      </c>
      <c r="C255" s="15">
        <v>1</v>
      </c>
      <c r="D255" s="18">
        <v>9.8780158865624585</v>
      </c>
      <c r="E255" s="18">
        <v>9.7298363466539008</v>
      </c>
      <c r="F255" s="18">
        <v>0.1481795399085577</v>
      </c>
      <c r="G255" s="18">
        <v>0.71825933444988588</v>
      </c>
      <c r="H255" s="18">
        <v>3.8876841040743577E-2</v>
      </c>
      <c r="I255" s="18">
        <v>9.6530151964504629</v>
      </c>
      <c r="J255" s="18">
        <v>9.8066574968573388</v>
      </c>
      <c r="K255" s="18">
        <v>0.20993478716713293</v>
      </c>
      <c r="L255" s="18">
        <v>9.3150024407562704</v>
      </c>
      <c r="M255" s="18">
        <v>10.144670252551531</v>
      </c>
    </row>
    <row r="256" spans="2:13" x14ac:dyDescent="0.15">
      <c r="B256" s="9" t="s">
        <v>375</v>
      </c>
      <c r="C256" s="15">
        <v>1</v>
      </c>
      <c r="D256" s="18">
        <v>11.578647660289029</v>
      </c>
      <c r="E256" s="18">
        <v>11.600420427662485</v>
      </c>
      <c r="F256" s="18">
        <v>-2.1772767373455792E-2</v>
      </c>
      <c r="G256" s="18">
        <v>-0.10553746767226525</v>
      </c>
      <c r="H256" s="18">
        <v>4.7710517188358226E-2</v>
      </c>
      <c r="I256" s="18">
        <v>11.506143816983922</v>
      </c>
      <c r="J256" s="18">
        <v>11.694697038341047</v>
      </c>
      <c r="K256" s="18">
        <v>0.21174867070180814</v>
      </c>
      <c r="L256" s="18">
        <v>11.182002263997543</v>
      </c>
      <c r="M256" s="18">
        <v>12.018838591327427</v>
      </c>
    </row>
    <row r="257" spans="2:13" x14ac:dyDescent="0.15">
      <c r="B257" s="9" t="s">
        <v>376</v>
      </c>
      <c r="C257" s="15">
        <v>1</v>
      </c>
      <c r="D257" s="18">
        <v>9.8936392164813132</v>
      </c>
      <c r="E257" s="18">
        <v>10.201164335315497</v>
      </c>
      <c r="F257" s="18">
        <v>-0.30752511883418343</v>
      </c>
      <c r="G257" s="18">
        <v>-1.4906429545993358</v>
      </c>
      <c r="H257" s="18">
        <v>3.6940650588869542E-2</v>
      </c>
      <c r="I257" s="18">
        <v>10.128169122959479</v>
      </c>
      <c r="J257" s="18">
        <v>10.274159547671514</v>
      </c>
      <c r="K257" s="18">
        <v>0.20958487006349266</v>
      </c>
      <c r="L257" s="18">
        <v>9.7870218702257592</v>
      </c>
      <c r="M257" s="18">
        <v>10.615306800405234</v>
      </c>
    </row>
    <row r="258" spans="2:13" x14ac:dyDescent="0.15">
      <c r="B258" s="9" t="s">
        <v>377</v>
      </c>
      <c r="C258" s="15">
        <v>1</v>
      </c>
      <c r="D258" s="18">
        <v>9.6883741729171824</v>
      </c>
      <c r="E258" s="18">
        <v>9.876678832265819</v>
      </c>
      <c r="F258" s="18">
        <v>-0.1883046593486366</v>
      </c>
      <c r="G258" s="18">
        <v>-0.91275475265362949</v>
      </c>
      <c r="H258" s="18">
        <v>3.5022035000201471E-2</v>
      </c>
      <c r="I258" s="18">
        <v>9.8074748295959289</v>
      </c>
      <c r="J258" s="18">
        <v>9.9458828349357091</v>
      </c>
      <c r="K258" s="18">
        <v>0.20925522461615503</v>
      </c>
      <c r="L258" s="18">
        <v>9.4631877509239857</v>
      </c>
      <c r="M258" s="18">
        <v>10.290169913607652</v>
      </c>
    </row>
    <row r="259" spans="2:13" x14ac:dyDescent="0.15">
      <c r="B259" s="9" t="s">
        <v>378</v>
      </c>
      <c r="C259" s="15">
        <v>1</v>
      </c>
      <c r="D259" s="18">
        <v>10.870376337173374</v>
      </c>
      <c r="E259" s="18">
        <v>10.787176950966254</v>
      </c>
      <c r="F259" s="18">
        <v>8.3199386207120085E-2</v>
      </c>
      <c r="G259" s="18">
        <v>0.40328601236474676</v>
      </c>
      <c r="H259" s="18">
        <v>4.1686185121615787E-2</v>
      </c>
      <c r="I259" s="18">
        <v>10.70480449983835</v>
      </c>
      <c r="J259" s="18">
        <v>10.869549402094158</v>
      </c>
      <c r="K259" s="18">
        <v>0.21047314347345075</v>
      </c>
      <c r="L259" s="18">
        <v>10.371279245913048</v>
      </c>
      <c r="M259" s="18">
        <v>11.20307465601946</v>
      </c>
    </row>
    <row r="260" spans="2:13" x14ac:dyDescent="0.15">
      <c r="B260" s="9" t="s">
        <v>379</v>
      </c>
      <c r="C260" s="15">
        <v>1</v>
      </c>
      <c r="D260" s="18">
        <v>9.95546311412647</v>
      </c>
      <c r="E260" s="18">
        <v>10.080114484816864</v>
      </c>
      <c r="F260" s="18">
        <v>-0.124651370690394</v>
      </c>
      <c r="G260" s="18">
        <v>-0.60421304186528746</v>
      </c>
      <c r="H260" s="18">
        <v>3.5523731699870414E-2</v>
      </c>
      <c r="I260" s="18">
        <v>10.009919122857225</v>
      </c>
      <c r="J260" s="18">
        <v>10.150309846776503</v>
      </c>
      <c r="K260" s="18">
        <v>0.20933977550261809</v>
      </c>
      <c r="L260" s="18">
        <v>9.6664563298091952</v>
      </c>
      <c r="M260" s="18">
        <v>10.493772639824533</v>
      </c>
    </row>
    <row r="261" spans="2:13" x14ac:dyDescent="0.15">
      <c r="B261" s="9" t="s">
        <v>380</v>
      </c>
      <c r="C261" s="15">
        <v>1</v>
      </c>
      <c r="D261" s="18">
        <v>10.611079897527569</v>
      </c>
      <c r="E261" s="18">
        <v>10.361653329427126</v>
      </c>
      <c r="F261" s="18">
        <v>0.24942656810044284</v>
      </c>
      <c r="G261" s="18">
        <v>1.209026299504637</v>
      </c>
      <c r="H261" s="18">
        <v>5.513711887111053E-2</v>
      </c>
      <c r="I261" s="18">
        <v>10.252701655957996</v>
      </c>
      <c r="J261" s="18">
        <v>10.470605002896257</v>
      </c>
      <c r="K261" s="18">
        <v>0.21354462758638795</v>
      </c>
      <c r="L261" s="18">
        <v>9.9396863312916928</v>
      </c>
      <c r="M261" s="18">
        <v>10.783620327562559</v>
      </c>
    </row>
    <row r="262" spans="2:13" x14ac:dyDescent="0.15">
      <c r="B262" s="9" t="s">
        <v>381</v>
      </c>
      <c r="C262" s="15">
        <v>1</v>
      </c>
      <c r="D262" s="18">
        <v>11.205435165206588</v>
      </c>
      <c r="E262" s="18">
        <v>10.632710575256095</v>
      </c>
      <c r="F262" s="18">
        <v>0.57272458995049291</v>
      </c>
      <c r="G262" s="18">
        <v>2.77612403881656</v>
      </c>
      <c r="H262" s="18">
        <v>5.5955401840405081E-2</v>
      </c>
      <c r="I262" s="18">
        <v>10.52214196385656</v>
      </c>
      <c r="J262" s="18">
        <v>10.743279186655629</v>
      </c>
      <c r="K262" s="18">
        <v>0.21375736967113756</v>
      </c>
      <c r="L262" s="18">
        <v>10.210323195957749</v>
      </c>
      <c r="M262" s="18">
        <v>11.055097954554441</v>
      </c>
    </row>
    <row r="263" spans="2:13" x14ac:dyDescent="0.15">
      <c r="B263" s="9" t="s">
        <v>382</v>
      </c>
      <c r="C263" s="15">
        <v>1</v>
      </c>
      <c r="D263" s="18">
        <v>10.937045631566651</v>
      </c>
      <c r="E263" s="18">
        <v>10.680737033568381</v>
      </c>
      <c r="F263" s="18">
        <v>0.25630859799827022</v>
      </c>
      <c r="G263" s="18">
        <v>1.2423850359207989</v>
      </c>
      <c r="H263" s="18">
        <v>3.756372436110194E-2</v>
      </c>
      <c r="I263" s="18">
        <v>10.606510619227759</v>
      </c>
      <c r="J263" s="18">
        <v>10.754963447909002</v>
      </c>
      <c r="K263" s="18">
        <v>0.20969558765381546</v>
      </c>
      <c r="L263" s="18">
        <v>10.266375789061163</v>
      </c>
      <c r="M263" s="18">
        <v>11.095098278075598</v>
      </c>
    </row>
    <row r="264" spans="2:13" x14ac:dyDescent="0.15">
      <c r="B264" s="9" t="s">
        <v>383</v>
      </c>
      <c r="C264" s="15">
        <v>1</v>
      </c>
      <c r="D264" s="18">
        <v>9.659248037927183</v>
      </c>
      <c r="E264" s="18">
        <v>9.8084967895042059</v>
      </c>
      <c r="F264" s="18">
        <v>-0.14924875157702289</v>
      </c>
      <c r="G264" s="18">
        <v>-0.72344204227751019</v>
      </c>
      <c r="H264" s="18">
        <v>5.4878567602032427E-2</v>
      </c>
      <c r="I264" s="18">
        <v>9.7000560167498833</v>
      </c>
      <c r="J264" s="18">
        <v>9.9169375622585285</v>
      </c>
      <c r="K264" s="18">
        <v>0.2134780159071491</v>
      </c>
      <c r="L264" s="18">
        <v>9.3866614169247367</v>
      </c>
      <c r="M264" s="18">
        <v>10.230332162083675</v>
      </c>
    </row>
    <row r="265" spans="2:13" x14ac:dyDescent="0.15">
      <c r="B265" s="9" t="s">
        <v>384</v>
      </c>
      <c r="C265" s="15">
        <v>1</v>
      </c>
      <c r="D265" s="18">
        <v>9.8699307690072846</v>
      </c>
      <c r="E265" s="18">
        <v>9.6741132223599422</v>
      </c>
      <c r="F265" s="18">
        <v>0.19581754664734241</v>
      </c>
      <c r="G265" s="18">
        <v>0.94917139583051779</v>
      </c>
      <c r="H265" s="18">
        <v>5.4651675455105603E-2</v>
      </c>
      <c r="I265" s="18">
        <v>9.5661207914778608</v>
      </c>
      <c r="J265" s="18">
        <v>9.7821056532420236</v>
      </c>
      <c r="K265" s="18">
        <v>0.21341980162030971</v>
      </c>
      <c r="L265" s="18">
        <v>9.2523928819783983</v>
      </c>
      <c r="M265" s="18">
        <v>10.095833562741486</v>
      </c>
    </row>
    <row r="266" spans="2:13" x14ac:dyDescent="0.15">
      <c r="B266" s="9" t="s">
        <v>385</v>
      </c>
      <c r="C266" s="15">
        <v>1</v>
      </c>
      <c r="D266" s="18">
        <v>9.8909087703292684</v>
      </c>
      <c r="E266" s="18">
        <v>9.9148122737183062</v>
      </c>
      <c r="F266" s="18">
        <v>-2.3903503389037795E-2</v>
      </c>
      <c r="G266" s="18">
        <v>-0.11586562116352835</v>
      </c>
      <c r="H266" s="18">
        <v>5.1401836004345655E-2</v>
      </c>
      <c r="I266" s="18">
        <v>9.8132415684163004</v>
      </c>
      <c r="J266" s="18">
        <v>10.016382979020312</v>
      </c>
      <c r="K266" s="18">
        <v>0.21261080602410545</v>
      </c>
      <c r="L266" s="18">
        <v>9.4946905192955544</v>
      </c>
      <c r="M266" s="18">
        <v>10.334934028141058</v>
      </c>
    </row>
    <row r="267" spans="2:13" x14ac:dyDescent="0.15">
      <c r="B267" s="9" t="s">
        <v>386</v>
      </c>
      <c r="C267" s="15">
        <v>1</v>
      </c>
      <c r="D267" s="18">
        <v>9.2904446162178438</v>
      </c>
      <c r="E267" s="18">
        <v>9.2300211326029338</v>
      </c>
      <c r="F267" s="18">
        <v>6.0423483614910012E-2</v>
      </c>
      <c r="G267" s="18">
        <v>0.29288612417862159</v>
      </c>
      <c r="H267" s="18">
        <v>4.8822255573381559E-2</v>
      </c>
      <c r="I267" s="18">
        <v>9.1335477122254218</v>
      </c>
      <c r="J267" s="18">
        <v>9.3264945529804457</v>
      </c>
      <c r="K267" s="18">
        <v>0.21200193096496725</v>
      </c>
      <c r="L267" s="18">
        <v>8.8111025233206046</v>
      </c>
      <c r="M267" s="18">
        <v>9.6489397418852629</v>
      </c>
    </row>
    <row r="268" spans="2:13" x14ac:dyDescent="0.15">
      <c r="B268" s="9" t="s">
        <v>387</v>
      </c>
      <c r="C268" s="15">
        <v>1</v>
      </c>
      <c r="D268" s="18">
        <v>10.984190420660671</v>
      </c>
      <c r="E268" s="18">
        <v>9.8808537964657415</v>
      </c>
      <c r="F268" s="18">
        <v>1.1033366241949292</v>
      </c>
      <c r="G268" s="18">
        <v>5.3481191118387734</v>
      </c>
      <c r="H268" s="18">
        <v>4.2837808228094999E-2</v>
      </c>
      <c r="I268" s="18">
        <v>9.7962057229037036</v>
      </c>
      <c r="J268" s="18">
        <v>9.9655018700277793</v>
      </c>
      <c r="K268" s="18">
        <v>0.21070425697500561</v>
      </c>
      <c r="L268" s="18">
        <v>9.4644994080879208</v>
      </c>
      <c r="M268" s="18">
        <v>10.297208184843562</v>
      </c>
    </row>
    <row r="269" spans="2:13" x14ac:dyDescent="0.15">
      <c r="B269" s="9" t="s">
        <v>388</v>
      </c>
      <c r="C269" s="15">
        <v>1</v>
      </c>
      <c r="D269" s="18">
        <v>9.2998153784037854</v>
      </c>
      <c r="E269" s="18">
        <v>9.2120529857076594</v>
      </c>
      <c r="F269" s="18">
        <v>8.7762392696125957E-2</v>
      </c>
      <c r="G269" s="18">
        <v>0.42540392422968021</v>
      </c>
      <c r="H269" s="18">
        <v>5.7721128325314161E-2</v>
      </c>
      <c r="I269" s="18">
        <v>9.0979952755057507</v>
      </c>
      <c r="J269" s="18">
        <v>9.3261106959095681</v>
      </c>
      <c r="K269" s="18">
        <v>0.21422636333735759</v>
      </c>
      <c r="L269" s="18">
        <v>8.7887388687446091</v>
      </c>
      <c r="M269" s="18">
        <v>9.6353671026707097</v>
      </c>
    </row>
    <row r="270" spans="2:13" ht="14" thickBot="1" x14ac:dyDescent="0.2">
      <c r="B270" s="13" t="s">
        <v>389</v>
      </c>
      <c r="C270" s="16">
        <v>1</v>
      </c>
      <c r="D270" s="19">
        <v>9.7662923133582833</v>
      </c>
      <c r="E270" s="19">
        <v>9.7141689673032605</v>
      </c>
      <c r="F270" s="19">
        <v>5.2123346055022779E-2</v>
      </c>
      <c r="G270" s="19">
        <v>0.25265350310768248</v>
      </c>
      <c r="H270" s="19">
        <v>4.9845006132213397E-2</v>
      </c>
      <c r="I270" s="19">
        <v>9.6156745783440076</v>
      </c>
      <c r="J270" s="19">
        <v>9.8126633562625134</v>
      </c>
      <c r="K270" s="19">
        <v>0.21223979534932311</v>
      </c>
      <c r="L270" s="19">
        <v>9.2947803348629421</v>
      </c>
      <c r="M270" s="19">
        <v>10.133557599743579</v>
      </c>
    </row>
    <row r="292" spans="6:6" x14ac:dyDescent="0.15">
      <c r="F292" t="s">
        <v>230</v>
      </c>
    </row>
    <row r="314" spans="6:6" x14ac:dyDescent="0.15">
      <c r="F314" t="s">
        <v>230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D210610">
              <controlPr defaultSize="0" autoFill="0" autoPict="0" macro="[0]!GoToResultsNew1101202119225981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XLSTAT_20211101_192102_1_HID">
    <tabColor rgb="FF007800"/>
  </sheetPr>
  <dimension ref="A1:H70"/>
  <sheetViews>
    <sheetView workbookViewId="0"/>
  </sheetViews>
  <sheetFormatPr baseColWidth="10" defaultRowHeight="13" x14ac:dyDescent="0.15"/>
  <sheetData>
    <row r="1" spans="1:8" x14ac:dyDescent="0.15">
      <c r="A1">
        <v>1</v>
      </c>
      <c r="C1">
        <f t="shared" ref="C1:C32" si="0">9.09478490664887+(A1-1)*0.0793872615646978</f>
        <v>9.0947849066488704</v>
      </c>
      <c r="D1">
        <f t="shared" ref="D1:D32" si="1">0+1*C1-0.407658779328625*(1.00641025641026+(C1-10.2689435146369)^2/52.7669957088045)^0.5</f>
        <v>8.6805471456408778</v>
      </c>
      <c r="E1">
        <v>1</v>
      </c>
      <c r="G1">
        <f t="shared" ref="G1:G32" si="2">7.36964238856613+(E1-1)*0.104389327044158</f>
        <v>7.3696423885661302</v>
      </c>
      <c r="H1">
        <f t="shared" ref="H1:H32" si="3">0+1*G1+0.407658779328625*(1.00641025641026+(G1-10.2689435146369)^2/52.7669957088045)^0.5</f>
        <v>7.8097842639585373</v>
      </c>
    </row>
    <row r="2" spans="1:8" x14ac:dyDescent="0.15">
      <c r="A2">
        <v>2</v>
      </c>
      <c r="C2">
        <f t="shared" si="0"/>
        <v>9.174172168213568</v>
      </c>
      <c r="D2">
        <f t="shared" si="1"/>
        <v>8.76061971054928</v>
      </c>
      <c r="E2">
        <v>2</v>
      </c>
      <c r="G2">
        <f t="shared" si="2"/>
        <v>7.4740317156102885</v>
      </c>
      <c r="H2">
        <f t="shared" si="3"/>
        <v>7.9120417668744993</v>
      </c>
    </row>
    <row r="3" spans="1:8" x14ac:dyDescent="0.15">
      <c r="A3">
        <v>3</v>
      </c>
      <c r="C3">
        <f t="shared" si="0"/>
        <v>9.2535594297782655</v>
      </c>
      <c r="D3">
        <f t="shared" si="1"/>
        <v>8.8406453402764438</v>
      </c>
      <c r="E3">
        <v>3</v>
      </c>
      <c r="G3">
        <f t="shared" si="2"/>
        <v>7.5784210426544458</v>
      </c>
      <c r="H3">
        <f t="shared" si="3"/>
        <v>8.0143675748509491</v>
      </c>
    </row>
    <row r="4" spans="1:8" x14ac:dyDescent="0.15">
      <c r="A4">
        <v>4</v>
      </c>
      <c r="C4">
        <f t="shared" si="0"/>
        <v>9.3329466913429631</v>
      </c>
      <c r="D4">
        <f t="shared" si="1"/>
        <v>8.9206238168237899</v>
      </c>
      <c r="E4">
        <v>4</v>
      </c>
      <c r="G4">
        <f t="shared" si="2"/>
        <v>7.6828103696986041</v>
      </c>
      <c r="H4">
        <f t="shared" si="3"/>
        <v>8.1167626622965159</v>
      </c>
    </row>
    <row r="5" spans="1:8" x14ac:dyDescent="0.15">
      <c r="A5">
        <v>5</v>
      </c>
      <c r="C5">
        <f t="shared" si="0"/>
        <v>9.4123339529076624</v>
      </c>
      <c r="D5">
        <f t="shared" si="1"/>
        <v>9.0005549370896194</v>
      </c>
      <c r="E5">
        <v>5</v>
      </c>
      <c r="G5">
        <f t="shared" si="2"/>
        <v>7.7871996967427624</v>
      </c>
      <c r="H5">
        <f t="shared" si="3"/>
        <v>8.2192279885929143</v>
      </c>
    </row>
    <row r="6" spans="1:8" x14ac:dyDescent="0.15">
      <c r="A6">
        <v>6</v>
      </c>
      <c r="C6">
        <f t="shared" si="0"/>
        <v>9.4917212144723599</v>
      </c>
      <c r="D6">
        <f t="shared" si="1"/>
        <v>9.0804385132094865</v>
      </c>
      <c r="E6">
        <v>6</v>
      </c>
      <c r="G6">
        <f t="shared" si="2"/>
        <v>7.8915890237869206</v>
      </c>
      <c r="H6">
        <f t="shared" si="3"/>
        <v>8.3217644961910118</v>
      </c>
    </row>
    <row r="7" spans="1:8" x14ac:dyDescent="0.15">
      <c r="A7">
        <v>7</v>
      </c>
      <c r="C7">
        <f t="shared" si="0"/>
        <v>9.5711084760370575</v>
      </c>
      <c r="D7">
        <f t="shared" si="1"/>
        <v>9.1602743728740119</v>
      </c>
      <c r="E7">
        <v>7</v>
      </c>
      <c r="G7">
        <f t="shared" si="2"/>
        <v>7.995978350831078</v>
      </c>
      <c r="H7">
        <f t="shared" si="3"/>
        <v>8.4243731086752351</v>
      </c>
    </row>
    <row r="8" spans="1:8" x14ac:dyDescent="0.15">
      <c r="A8">
        <v>8</v>
      </c>
      <c r="C8">
        <f t="shared" si="0"/>
        <v>9.6504957376017551</v>
      </c>
      <c r="D8">
        <f t="shared" si="1"/>
        <v>9.2400623596228559</v>
      </c>
      <c r="E8">
        <v>8</v>
      </c>
      <c r="G8">
        <f t="shared" si="2"/>
        <v>8.1003676778752354</v>
      </c>
      <c r="H8">
        <f t="shared" si="3"/>
        <v>8.5270547288033995</v>
      </c>
    </row>
    <row r="9" spans="1:8" x14ac:dyDescent="0.15">
      <c r="A9">
        <v>9</v>
      </c>
      <c r="C9">
        <f t="shared" si="0"/>
        <v>9.7298829991664526</v>
      </c>
      <c r="D9">
        <f t="shared" si="1"/>
        <v>9.3198023331137296</v>
      </c>
      <c r="E9">
        <v>9</v>
      </c>
      <c r="G9">
        <f t="shared" si="2"/>
        <v>8.2047570049193936</v>
      </c>
      <c r="H9">
        <f t="shared" si="3"/>
        <v>8.6298102365296732</v>
      </c>
    </row>
    <row r="10" spans="1:8" x14ac:dyDescent="0.15">
      <c r="A10">
        <v>10</v>
      </c>
      <c r="C10">
        <f t="shared" si="0"/>
        <v>9.8092702607311502</v>
      </c>
      <c r="D10">
        <f t="shared" si="1"/>
        <v>9.3994941693653811</v>
      </c>
      <c r="E10">
        <v>10</v>
      </c>
      <c r="G10">
        <f t="shared" si="2"/>
        <v>8.3091463319635519</v>
      </c>
      <c r="H10">
        <f t="shared" si="3"/>
        <v>8.7326404870189158</v>
      </c>
    </row>
    <row r="11" spans="1:8" x14ac:dyDescent="0.15">
      <c r="A11">
        <v>11</v>
      </c>
      <c r="C11">
        <f t="shared" si="0"/>
        <v>9.8886575222958477</v>
      </c>
      <c r="D11">
        <f t="shared" si="1"/>
        <v>9.4791377609735683</v>
      </c>
      <c r="E11">
        <v>11</v>
      </c>
      <c r="G11">
        <f t="shared" si="2"/>
        <v>8.4135356590077102</v>
      </c>
      <c r="H11">
        <f t="shared" si="3"/>
        <v>8.8355463086611525</v>
      </c>
    </row>
    <row r="12" spans="1:8" x14ac:dyDescent="0.15">
      <c r="A12">
        <v>12</v>
      </c>
      <c r="C12">
        <f t="shared" si="0"/>
        <v>9.968044783860547</v>
      </c>
      <c r="D12">
        <f t="shared" si="1"/>
        <v>9.5587330172991702</v>
      </c>
      <c r="E12">
        <v>12</v>
      </c>
      <c r="G12">
        <f t="shared" si="2"/>
        <v>8.5179249860518684</v>
      </c>
      <c r="H12">
        <f t="shared" si="3"/>
        <v>8.9385285010953499</v>
      </c>
    </row>
    <row r="13" spans="1:8" x14ac:dyDescent="0.15">
      <c r="A13">
        <v>13</v>
      </c>
      <c r="C13">
        <f t="shared" si="0"/>
        <v>10.047432045425245</v>
      </c>
      <c r="D13">
        <f t="shared" si="1"/>
        <v>9.6382798646276573</v>
      </c>
      <c r="E13">
        <v>13</v>
      </c>
      <c r="G13">
        <f t="shared" si="2"/>
        <v>8.6223143130960267</v>
      </c>
      <c r="H13">
        <f t="shared" si="3"/>
        <v>9.041587833252132</v>
      </c>
    </row>
    <row r="14" spans="1:8" x14ac:dyDescent="0.15">
      <c r="A14">
        <v>14</v>
      </c>
      <c r="C14">
        <f t="shared" si="0"/>
        <v>10.126819306989942</v>
      </c>
      <c r="D14">
        <f t="shared" si="1"/>
        <v>9.7177782462992877</v>
      </c>
      <c r="E14">
        <v>14</v>
      </c>
      <c r="G14">
        <f t="shared" si="2"/>
        <v>8.726703640140185</v>
      </c>
      <c r="H14">
        <f t="shared" si="3"/>
        <v>9.1447250414253336</v>
      </c>
    </row>
    <row r="15" spans="1:8" x14ac:dyDescent="0.15">
      <c r="A15">
        <v>15</v>
      </c>
      <c r="C15">
        <f t="shared" si="0"/>
        <v>10.20620656855464</v>
      </c>
      <c r="D15">
        <f t="shared" si="1"/>
        <v>9.7972281228094644</v>
      </c>
      <c r="E15">
        <v>15</v>
      </c>
      <c r="G15">
        <f t="shared" si="2"/>
        <v>8.8310929671843414</v>
      </c>
      <c r="H15">
        <f t="shared" si="3"/>
        <v>9.2479408273825854</v>
      </c>
    </row>
    <row r="16" spans="1:8" x14ac:dyDescent="0.15">
      <c r="A16">
        <v>16</v>
      </c>
      <c r="C16">
        <f t="shared" si="0"/>
        <v>10.285593830119337</v>
      </c>
      <c r="D16">
        <f t="shared" si="1"/>
        <v>9.8766294718788803</v>
      </c>
      <c r="E16">
        <v>16</v>
      </c>
      <c r="G16">
        <f t="shared" si="2"/>
        <v>8.9354822942284997</v>
      </c>
      <c r="H16">
        <f t="shared" si="3"/>
        <v>9.3512358565252747</v>
      </c>
    </row>
    <row r="17" spans="1:8" x14ac:dyDescent="0.15">
      <c r="A17">
        <v>17</v>
      </c>
      <c r="C17">
        <f t="shared" si="0"/>
        <v>10.364981091684035</v>
      </c>
      <c r="D17">
        <f t="shared" si="1"/>
        <v>9.9559822884931126</v>
      </c>
      <c r="E17">
        <v>17</v>
      </c>
      <c r="G17">
        <f t="shared" si="2"/>
        <v>9.039871621272658</v>
      </c>
      <c r="H17">
        <f t="shared" si="3"/>
        <v>9.4546107561082913</v>
      </c>
    </row>
    <row r="18" spans="1:8" x14ac:dyDescent="0.15">
      <c r="A18">
        <v>18</v>
      </c>
      <c r="C18">
        <f t="shared" si="0"/>
        <v>10.444368353248732</v>
      </c>
      <c r="D18">
        <f t="shared" si="1"/>
        <v>10.035286584911553</v>
      </c>
      <c r="E18">
        <v>18</v>
      </c>
      <c r="G18">
        <f t="shared" si="2"/>
        <v>9.1442609483168162</v>
      </c>
      <c r="H18">
        <f t="shared" si="3"/>
        <v>9.558066113529998</v>
      </c>
    </row>
    <row r="19" spans="1:8" x14ac:dyDescent="0.15">
      <c r="A19">
        <v>19</v>
      </c>
      <c r="C19">
        <f t="shared" si="0"/>
        <v>10.523755614813432</v>
      </c>
      <c r="D19">
        <f t="shared" si="1"/>
        <v>10.114542390645605</v>
      </c>
      <c r="E19">
        <v>19</v>
      </c>
      <c r="G19">
        <f t="shared" si="2"/>
        <v>9.2486502753609745</v>
      </c>
      <c r="H19">
        <f t="shared" si="3"/>
        <v>9.6616024747026863</v>
      </c>
    </row>
    <row r="20" spans="1:8" x14ac:dyDescent="0.15">
      <c r="A20">
        <v>20</v>
      </c>
      <c r="C20">
        <f t="shared" si="0"/>
        <v>10.603142876378129</v>
      </c>
      <c r="D20">
        <f t="shared" si="1"/>
        <v>10.19374975240623</v>
      </c>
      <c r="E20">
        <v>20</v>
      </c>
      <c r="G20">
        <f t="shared" si="2"/>
        <v>9.3530396024051328</v>
      </c>
      <c r="H20">
        <f t="shared" si="3"/>
        <v>9.7652203425135866</v>
      </c>
    </row>
    <row r="21" spans="1:8" x14ac:dyDescent="0.15">
      <c r="A21">
        <v>21</v>
      </c>
      <c r="C21">
        <f t="shared" si="0"/>
        <v>10.682530137942827</v>
      </c>
      <c r="D21">
        <f t="shared" si="1"/>
        <v>10.272908734021106</v>
      </c>
      <c r="E21">
        <v>21</v>
      </c>
      <c r="G21">
        <f t="shared" si="2"/>
        <v>9.4574289294492893</v>
      </c>
      <c r="H21">
        <f t="shared" si="3"/>
        <v>9.8689201753861813</v>
      </c>
    </row>
    <row r="22" spans="1:8" x14ac:dyDescent="0.15">
      <c r="A22">
        <v>22</v>
      </c>
      <c r="C22">
        <f t="shared" si="0"/>
        <v>10.761917399507524</v>
      </c>
      <c r="D22">
        <f t="shared" si="1"/>
        <v>10.352019416321683</v>
      </c>
      <c r="E22">
        <v>22</v>
      </c>
      <c r="G22">
        <f t="shared" si="2"/>
        <v>9.5618182564934493</v>
      </c>
      <c r="H22">
        <f t="shared" si="3"/>
        <v>9.9727023859511199</v>
      </c>
    </row>
    <row r="23" spans="1:8" x14ac:dyDescent="0.15">
      <c r="A23">
        <v>23</v>
      </c>
      <c r="C23">
        <f t="shared" si="0"/>
        <v>10.841304661072222</v>
      </c>
      <c r="D23">
        <f t="shared" si="1"/>
        <v>10.431081897000643</v>
      </c>
      <c r="E23">
        <v>23</v>
      </c>
      <c r="G23">
        <f t="shared" si="2"/>
        <v>9.6662075835376058</v>
      </c>
      <c r="H23">
        <f t="shared" si="3"/>
        <v>10.076567339835451</v>
      </c>
    </row>
    <row r="24" spans="1:8" x14ac:dyDescent="0.15">
      <c r="A24">
        <v>24</v>
      </c>
      <c r="C24">
        <f t="shared" si="0"/>
        <v>10.920691922636919</v>
      </c>
      <c r="D24">
        <f t="shared" si="1"/>
        <v>10.510096290440325</v>
      </c>
      <c r="E24">
        <v>24</v>
      </c>
      <c r="G24">
        <f t="shared" si="2"/>
        <v>9.770596910581764</v>
      </c>
      <c r="H24">
        <f t="shared" si="3"/>
        <v>10.18051535457839</v>
      </c>
    </row>
    <row r="25" spans="1:8" x14ac:dyDescent="0.15">
      <c r="A25">
        <v>25</v>
      </c>
      <c r="C25">
        <f t="shared" si="0"/>
        <v>11.000079184201617</v>
      </c>
      <c r="D25">
        <f t="shared" si="1"/>
        <v>10.589062727512832</v>
      </c>
      <c r="E25">
        <v>25</v>
      </c>
      <c r="G25">
        <f t="shared" si="2"/>
        <v>9.8749862376259223</v>
      </c>
      <c r="H25">
        <f t="shared" si="3"/>
        <v>10.284546698680879</v>
      </c>
    </row>
    <row r="26" spans="1:8" x14ac:dyDescent="0.15">
      <c r="A26">
        <v>26</v>
      </c>
      <c r="C26">
        <f t="shared" si="0"/>
        <v>11.079466445766315</v>
      </c>
      <c r="D26">
        <f t="shared" si="1"/>
        <v>10.667981355352611</v>
      </c>
      <c r="E26">
        <v>26</v>
      </c>
      <c r="G26">
        <f t="shared" si="2"/>
        <v>9.9793755646700806</v>
      </c>
      <c r="H26">
        <f t="shared" si="3"/>
        <v>10.388661590795616</v>
      </c>
    </row>
    <row r="27" spans="1:8" x14ac:dyDescent="0.15">
      <c r="A27">
        <v>27</v>
      </c>
      <c r="C27">
        <f t="shared" si="0"/>
        <v>11.158853707331014</v>
      </c>
      <c r="D27">
        <f t="shared" si="1"/>
        <v>10.746852337102428</v>
      </c>
      <c r="E27">
        <v>27</v>
      </c>
      <c r="G27">
        <f t="shared" si="2"/>
        <v>10.083764891714239</v>
      </c>
      <c r="H27">
        <f t="shared" si="3"/>
        <v>10.492860199063106</v>
      </c>
    </row>
    <row r="28" spans="1:8" x14ac:dyDescent="0.15">
      <c r="A28">
        <v>28</v>
      </c>
      <c r="C28">
        <f t="shared" si="0"/>
        <v>11.238240968895711</v>
      </c>
      <c r="D28">
        <f t="shared" si="1"/>
        <v>10.825675851633747</v>
      </c>
      <c r="E28">
        <v>28</v>
      </c>
      <c r="G28">
        <f t="shared" si="2"/>
        <v>10.188154218758395</v>
      </c>
      <c r="H28">
        <f t="shared" si="3"/>
        <v>10.597142640598481</v>
      </c>
    </row>
    <row r="29" spans="1:8" x14ac:dyDescent="0.15">
      <c r="A29">
        <v>29</v>
      </c>
      <c r="C29">
        <f t="shared" si="0"/>
        <v>11.317628230460409</v>
      </c>
      <c r="D29">
        <f t="shared" si="1"/>
        <v>10.90445209324262</v>
      </c>
      <c r="E29">
        <v>29</v>
      </c>
      <c r="G29">
        <f t="shared" si="2"/>
        <v>10.292543545802554</v>
      </c>
      <c r="H29">
        <f t="shared" si="3"/>
        <v>10.701508981132694</v>
      </c>
    </row>
    <row r="30" spans="1:8" x14ac:dyDescent="0.15">
      <c r="A30">
        <v>30</v>
      </c>
      <c r="C30">
        <f t="shared" si="0"/>
        <v>11.397015492025107</v>
      </c>
      <c r="D30">
        <f t="shared" si="1"/>
        <v>10.983181271322255</v>
      </c>
      <c r="E30">
        <v>30</v>
      </c>
      <c r="G30">
        <f t="shared" si="2"/>
        <v>10.396932872846712</v>
      </c>
      <c r="H30">
        <f t="shared" si="3"/>
        <v>10.80595923481064</v>
      </c>
    </row>
    <row r="31" spans="1:8" x14ac:dyDescent="0.15">
      <c r="A31">
        <v>31</v>
      </c>
      <c r="C31">
        <f t="shared" si="0"/>
        <v>11.476402753589804</v>
      </c>
      <c r="D31">
        <f t="shared" si="1"/>
        <v>11.061863610013535</v>
      </c>
      <c r="E31">
        <v>31</v>
      </c>
      <c r="G31">
        <f t="shared" si="2"/>
        <v>10.50132219989087</v>
      </c>
      <c r="H31">
        <f t="shared" si="3"/>
        <v>10.910493364147676</v>
      </c>
    </row>
    <row r="32" spans="1:8" x14ac:dyDescent="0.15">
      <c r="A32">
        <v>32</v>
      </c>
      <c r="C32">
        <f t="shared" si="0"/>
        <v>11.555790015154502</v>
      </c>
      <c r="D32">
        <f t="shared" si="1"/>
        <v>11.140499347834798</v>
      </c>
      <c r="E32">
        <v>32</v>
      </c>
      <c r="G32">
        <f t="shared" si="2"/>
        <v>10.605711526935028</v>
      </c>
      <c r="H32">
        <f t="shared" si="3"/>
        <v>11.015111280144824</v>
      </c>
    </row>
    <row r="33" spans="1:8" x14ac:dyDescent="0.15">
      <c r="A33">
        <v>33</v>
      </c>
      <c r="C33">
        <f t="shared" ref="C33:C64" si="4">9.09478490664887+(A33-1)*0.0793872615646978</f>
        <v>11.635177276719201</v>
      </c>
      <c r="D33">
        <f t="shared" ref="D33:D64" si="5">0+1*C33-0.407658779328625*(1.00641025641026+(C33-10.2689435146369)^2/52.7669957088045)^0.5</f>
        <v>11.219088737292276</v>
      </c>
      <c r="E33">
        <v>33</v>
      </c>
      <c r="G33">
        <f t="shared" ref="G33:G64" si="6">7.36964238856613+(E33-1)*0.104389327044158</f>
        <v>10.710100853979187</v>
      </c>
      <c r="H33">
        <f t="shared" ref="H33:H64" si="7">0+1*G33+0.407658779328625*(1.00641025641026+(G33-10.2689435146369)^2/52.7669957088045)^0.5</f>
        <v>11.119812842561849</v>
      </c>
    </row>
    <row r="34" spans="1:8" x14ac:dyDescent="0.15">
      <c r="A34">
        <v>34</v>
      </c>
      <c r="C34">
        <f t="shared" si="4"/>
        <v>11.714564538283899</v>
      </c>
      <c r="D34">
        <f t="shared" si="5"/>
        <v>11.297632044472602</v>
      </c>
      <c r="E34">
        <v>34</v>
      </c>
      <c r="G34">
        <f t="shared" si="6"/>
        <v>10.814490181023345</v>
      </c>
      <c r="H34">
        <f t="shared" si="7"/>
        <v>11.224597860346261</v>
      </c>
    </row>
    <row r="35" spans="1:8" x14ac:dyDescent="0.15">
      <c r="A35">
        <v>35</v>
      </c>
      <c r="C35">
        <f t="shared" si="4"/>
        <v>11.793951799848596</v>
      </c>
      <c r="D35">
        <f t="shared" si="5"/>
        <v>11.376129548618879</v>
      </c>
      <c r="E35">
        <v>35</v>
      </c>
      <c r="G35">
        <f t="shared" si="6"/>
        <v>10.918879508067501</v>
      </c>
      <c r="H35">
        <f t="shared" si="7"/>
        <v>11.32946609221516</v>
      </c>
    </row>
    <row r="36" spans="1:8" x14ac:dyDescent="0.15">
      <c r="A36">
        <v>36</v>
      </c>
      <c r="C36">
        <f t="shared" si="4"/>
        <v>11.873339061413294</v>
      </c>
      <c r="D36">
        <f t="shared" si="5"/>
        <v>11.454581541691773</v>
      </c>
      <c r="E36">
        <v>36</v>
      </c>
      <c r="G36">
        <f t="shared" si="6"/>
        <v>11.02326883511166</v>
      </c>
      <c r="H36">
        <f t="shared" si="7"/>
        <v>11.434417247385873</v>
      </c>
    </row>
    <row r="37" spans="1:8" x14ac:dyDescent="0.15">
      <c r="A37">
        <v>37</v>
      </c>
      <c r="C37">
        <f t="shared" si="4"/>
        <v>11.952726322977991</v>
      </c>
      <c r="D37">
        <f t="shared" si="5"/>
        <v>11.532988327917193</v>
      </c>
      <c r="E37">
        <v>37</v>
      </c>
      <c r="G37">
        <f t="shared" si="6"/>
        <v>11.127658162155818</v>
      </c>
      <c r="H37">
        <f t="shared" si="7"/>
        <v>11.539450986450168</v>
      </c>
    </row>
    <row r="38" spans="1:8" x14ac:dyDescent="0.15">
      <c r="A38">
        <v>38</v>
      </c>
      <c r="C38">
        <f t="shared" si="4"/>
        <v>12.032113584542689</v>
      </c>
      <c r="D38">
        <f t="shared" si="5"/>
        <v>11.611350223322056</v>
      </c>
      <c r="E38">
        <v>38</v>
      </c>
      <c r="G38">
        <f t="shared" si="6"/>
        <v>11.232047489199976</v>
      </c>
      <c r="H38">
        <f t="shared" si="7"/>
        <v>11.644566922386071</v>
      </c>
    </row>
    <row r="39" spans="1:8" x14ac:dyDescent="0.15">
      <c r="A39">
        <v>39</v>
      </c>
      <c r="C39">
        <f t="shared" si="4"/>
        <v>12.111500846107386</v>
      </c>
      <c r="D39">
        <f t="shared" si="5"/>
        <v>11.689667555259685</v>
      </c>
      <c r="E39">
        <v>39</v>
      </c>
      <c r="G39">
        <f t="shared" si="6"/>
        <v>11.336436816244134</v>
      </c>
      <c r="H39">
        <f t="shared" si="7"/>
        <v>11.749764621700269</v>
      </c>
    </row>
    <row r="40" spans="1:8" x14ac:dyDescent="0.15">
      <c r="A40">
        <v>40</v>
      </c>
      <c r="C40">
        <f t="shared" si="4"/>
        <v>12.190888107672084</v>
      </c>
      <c r="D40">
        <f t="shared" si="5"/>
        <v>11.767940661926394</v>
      </c>
      <c r="E40">
        <v>40</v>
      </c>
      <c r="G40">
        <f t="shared" si="6"/>
        <v>11.440826143288291</v>
      </c>
      <c r="H40">
        <f t="shared" si="7"/>
        <v>11.855043605693414</v>
      </c>
    </row>
    <row r="41" spans="1:8" x14ac:dyDescent="0.15">
      <c r="A41">
        <v>41</v>
      </c>
      <c r="C41">
        <f t="shared" si="4"/>
        <v>12.270275369236781</v>
      </c>
      <c r="D41">
        <f t="shared" si="5"/>
        <v>11.846169891870721</v>
      </c>
      <c r="E41">
        <v>41</v>
      </c>
      <c r="G41">
        <f t="shared" si="6"/>
        <v>11.545215470332451</v>
      </c>
      <c r="H41">
        <f t="shared" si="7"/>
        <v>11.960403351839899</v>
      </c>
    </row>
    <row r="42" spans="1:8" x14ac:dyDescent="0.15">
      <c r="A42">
        <v>42</v>
      </c>
      <c r="C42">
        <f t="shared" si="4"/>
        <v>12.349662630801481</v>
      </c>
      <c r="D42">
        <f t="shared" si="5"/>
        <v>11.924355603496885</v>
      </c>
      <c r="E42">
        <v>42</v>
      </c>
      <c r="G42">
        <f t="shared" si="6"/>
        <v>11.649604797376607</v>
      </c>
      <c r="H42">
        <f t="shared" si="7"/>
        <v>12.065843295273059</v>
      </c>
    </row>
    <row r="43" spans="1:8" x14ac:dyDescent="0.15">
      <c r="A43">
        <v>43</v>
      </c>
      <c r="C43">
        <f t="shared" si="4"/>
        <v>12.429049892366178</v>
      </c>
      <c r="D43">
        <f t="shared" si="5"/>
        <v>12.002498164563864</v>
      </c>
      <c r="E43">
        <v>43</v>
      </c>
      <c r="G43">
        <f t="shared" si="6"/>
        <v>11.753994124420768</v>
      </c>
      <c r="H43">
        <f t="shared" si="7"/>
        <v>12.171362830366354</v>
      </c>
    </row>
    <row r="44" spans="1:8" x14ac:dyDescent="0.15">
      <c r="A44">
        <v>44</v>
      </c>
      <c r="C44">
        <f t="shared" si="4"/>
        <v>12.508437153930876</v>
      </c>
      <c r="D44">
        <f t="shared" si="5"/>
        <v>12.080597951681602</v>
      </c>
      <c r="E44">
        <v>44</v>
      </c>
      <c r="G44">
        <f t="shared" si="6"/>
        <v>11.858383451464924</v>
      </c>
      <c r="H44">
        <f t="shared" si="7"/>
        <v>12.276961312400546</v>
      </c>
    </row>
    <row r="45" spans="1:8" x14ac:dyDescent="0.15">
      <c r="A45">
        <v>45</v>
      </c>
      <c r="C45">
        <f t="shared" si="4"/>
        <v>12.587824415495573</v>
      </c>
      <c r="D45">
        <f t="shared" si="5"/>
        <v>12.158655349805679</v>
      </c>
      <c r="E45">
        <v>45</v>
      </c>
      <c r="G45">
        <f t="shared" si="6"/>
        <v>11.962772778509082</v>
      </c>
      <c r="H45">
        <f t="shared" si="7"/>
        <v>12.382638059306787</v>
      </c>
    </row>
    <row r="46" spans="1:8" x14ac:dyDescent="0.15">
      <c r="A46">
        <v>46</v>
      </c>
      <c r="C46">
        <f t="shared" si="4"/>
        <v>12.667211677060271</v>
      </c>
      <c r="D46">
        <f t="shared" si="5"/>
        <v>12.236670751731832</v>
      </c>
      <c r="E46">
        <v>46</v>
      </c>
      <c r="G46">
        <f t="shared" si="6"/>
        <v>12.067162105553241</v>
      </c>
      <c r="H46">
        <f t="shared" si="7"/>
        <v>12.488392353475181</v>
      </c>
    </row>
    <row r="47" spans="1:8" x14ac:dyDescent="0.15">
      <c r="A47">
        <v>47</v>
      </c>
      <c r="C47">
        <f t="shared" si="4"/>
        <v>12.74659893862497</v>
      </c>
      <c r="D47">
        <f t="shared" si="5"/>
        <v>12.31464455759164</v>
      </c>
      <c r="E47">
        <v>47</v>
      </c>
      <c r="G47">
        <f t="shared" si="6"/>
        <v>12.171551432597397</v>
      </c>
      <c r="H47">
        <f t="shared" si="7"/>
        <v>12.594223443618437</v>
      </c>
    </row>
    <row r="48" spans="1:8" x14ac:dyDescent="0.15">
      <c r="A48">
        <v>48</v>
      </c>
      <c r="C48">
        <f t="shared" si="4"/>
        <v>12.825986200189668</v>
      </c>
      <c r="D48">
        <f t="shared" si="5"/>
        <v>12.392577174350572</v>
      </c>
      <c r="E48">
        <v>48</v>
      </c>
      <c r="G48">
        <f t="shared" si="6"/>
        <v>12.275940759641557</v>
      </c>
      <c r="H48">
        <f t="shared" si="7"/>
        <v>12.700130546680224</v>
      </c>
    </row>
    <row r="49" spans="1:8" x14ac:dyDescent="0.15">
      <c r="A49">
        <v>49</v>
      </c>
      <c r="C49">
        <f t="shared" si="4"/>
        <v>12.905373461754365</v>
      </c>
      <c r="D49">
        <f t="shared" si="5"/>
        <v>12.470469015309645</v>
      </c>
      <c r="E49">
        <v>49</v>
      </c>
      <c r="G49">
        <f t="shared" si="6"/>
        <v>12.380330086685714</v>
      </c>
      <c r="H49">
        <f t="shared" si="7"/>
        <v>12.806112849777875</v>
      </c>
    </row>
    <row r="50" spans="1:8" x14ac:dyDescent="0.15">
      <c r="A50">
        <v>50</v>
      </c>
      <c r="C50">
        <f t="shared" si="4"/>
        <v>12.984760723319063</v>
      </c>
      <c r="D50">
        <f t="shared" si="5"/>
        <v>12.548320499611771</v>
      </c>
      <c r="E50">
        <v>50</v>
      </c>
      <c r="G50">
        <f t="shared" si="6"/>
        <v>12.484719413729872</v>
      </c>
      <c r="H50">
        <f t="shared" si="7"/>
        <v>12.912169512169481</v>
      </c>
    </row>
    <row r="51" spans="1:8" x14ac:dyDescent="0.15">
      <c r="A51">
        <v>51</v>
      </c>
      <c r="C51">
        <f t="shared" si="4"/>
        <v>13.064147984883761</v>
      </c>
      <c r="D51">
        <f t="shared" si="5"/>
        <v>12.626132051753878</v>
      </c>
      <c r="E51">
        <v>51</v>
      </c>
      <c r="G51">
        <f t="shared" si="6"/>
        <v>12.58910874077403</v>
      </c>
      <c r="H51">
        <f t="shared" si="7"/>
        <v>13.018299667235453</v>
      </c>
    </row>
    <row r="52" spans="1:8" x14ac:dyDescent="0.15">
      <c r="A52">
        <v>52</v>
      </c>
      <c r="C52">
        <f t="shared" si="4"/>
        <v>13.143535246448458</v>
      </c>
      <c r="D52">
        <f t="shared" si="5"/>
        <v>12.703904101105795</v>
      </c>
      <c r="E52">
        <v>52</v>
      </c>
      <c r="G52">
        <f t="shared" si="6"/>
        <v>12.693498067818188</v>
      </c>
      <c r="H52">
        <f t="shared" si="7"/>
        <v>13.124502424465248</v>
      </c>
    </row>
    <row r="53" spans="1:8" x14ac:dyDescent="0.15">
      <c r="A53">
        <v>53</v>
      </c>
      <c r="C53">
        <f t="shared" si="4"/>
        <v>13.222922508013156</v>
      </c>
      <c r="D53">
        <f t="shared" si="5"/>
        <v>12.781637081436831</v>
      </c>
      <c r="E53">
        <v>53</v>
      </c>
      <c r="G53">
        <f t="shared" si="6"/>
        <v>12.797887394862347</v>
      </c>
      <c r="H53">
        <f t="shared" si="7"/>
        <v>13.230776871440174</v>
      </c>
    </row>
    <row r="54" spans="1:8" x14ac:dyDescent="0.15">
      <c r="A54">
        <v>54</v>
      </c>
      <c r="C54">
        <f t="shared" si="4"/>
        <v>13.302309769577853</v>
      </c>
      <c r="D54">
        <f t="shared" si="5"/>
        <v>12.85933143045089</v>
      </c>
      <c r="E54">
        <v>54</v>
      </c>
      <c r="G54">
        <f t="shared" si="6"/>
        <v>12.902276721906503</v>
      </c>
      <c r="H54">
        <f t="shared" si="7"/>
        <v>13.337122075803785</v>
      </c>
    </row>
    <row r="55" spans="1:8" x14ac:dyDescent="0.15">
      <c r="A55">
        <v>55</v>
      </c>
      <c r="C55">
        <f t="shared" si="4"/>
        <v>13.381697031142551</v>
      </c>
      <c r="D55">
        <f t="shared" si="5"/>
        <v>12.936987589330926</v>
      </c>
      <c r="E55">
        <v>55</v>
      </c>
      <c r="G55">
        <f t="shared" si="6"/>
        <v>13.006666048950663</v>
      </c>
      <c r="H55">
        <f t="shared" si="7"/>
        <v>13.443537087211872</v>
      </c>
    </row>
    <row r="56" spans="1:8" x14ac:dyDescent="0.15">
      <c r="A56">
        <v>56</v>
      </c>
      <c r="C56">
        <f t="shared" si="4"/>
        <v>13.461084292707248</v>
      </c>
      <c r="D56">
        <f t="shared" si="5"/>
        <v>13.014606002293462</v>
      </c>
      <c r="E56">
        <v>56</v>
      </c>
      <c r="G56">
        <f t="shared" si="6"/>
        <v>13.11105537599482</v>
      </c>
      <c r="H56">
        <f t="shared" si="7"/>
        <v>13.550020939254571</v>
      </c>
    </row>
    <row r="57" spans="1:8" x14ac:dyDescent="0.15">
      <c r="A57">
        <v>57</v>
      </c>
      <c r="C57">
        <f t="shared" si="4"/>
        <v>13.540471554271948</v>
      </c>
      <c r="D57">
        <f t="shared" si="5"/>
        <v>13.092187116153784</v>
      </c>
      <c r="E57">
        <v>57</v>
      </c>
      <c r="G57">
        <f t="shared" si="6"/>
        <v>13.215444703038978</v>
      </c>
      <c r="H57">
        <f t="shared" si="7"/>
        <v>13.656572651343801</v>
      </c>
    </row>
    <row r="58" spans="1:8" x14ac:dyDescent="0.15">
      <c r="A58">
        <v>58</v>
      </c>
      <c r="C58">
        <f t="shared" si="4"/>
        <v>13.619858815836645</v>
      </c>
      <c r="D58">
        <f t="shared" si="5"/>
        <v>13.169731379902439</v>
      </c>
      <c r="E58">
        <v>58</v>
      </c>
      <c r="G58">
        <f t="shared" si="6"/>
        <v>13.319834030083136</v>
      </c>
      <c r="H58">
        <f t="shared" si="7"/>
        <v>13.763191230559729</v>
      </c>
    </row>
    <row r="59" spans="1:8" x14ac:dyDescent="0.15">
      <c r="A59">
        <v>59</v>
      </c>
      <c r="C59">
        <f t="shared" si="4"/>
        <v>13.699246077401343</v>
      </c>
      <c r="D59">
        <f t="shared" si="5"/>
        <v>13.247239244293503</v>
      </c>
      <c r="E59">
        <v>59</v>
      </c>
      <c r="G59">
        <f t="shared" si="6"/>
        <v>13.424223357127294</v>
      </c>
      <c r="H59">
        <f t="shared" si="7"/>
        <v>13.869875673450691</v>
      </c>
    </row>
    <row r="60" spans="1:8" x14ac:dyDescent="0.15">
      <c r="A60">
        <v>60</v>
      </c>
      <c r="C60">
        <f t="shared" si="4"/>
        <v>13.778633338966042</v>
      </c>
      <c r="D60">
        <f t="shared" si="5"/>
        <v>13.324711161445112</v>
      </c>
      <c r="E60">
        <v>60</v>
      </c>
      <c r="G60">
        <f t="shared" si="6"/>
        <v>13.528612684171453</v>
      </c>
      <c r="H60">
        <f t="shared" si="7"/>
        <v>13.976624967781538</v>
      </c>
    </row>
    <row r="61" spans="1:8" x14ac:dyDescent="0.15">
      <c r="A61">
        <v>61</v>
      </c>
      <c r="C61">
        <f t="shared" si="4"/>
        <v>13.85802060053074</v>
      </c>
      <c r="D61">
        <f t="shared" si="5"/>
        <v>13.402147584452585</v>
      </c>
      <c r="E61">
        <v>61</v>
      </c>
      <c r="G61">
        <f t="shared" si="6"/>
        <v>13.633002011215609</v>
      </c>
      <c r="H61">
        <f t="shared" si="7"/>
        <v>14.083438094226047</v>
      </c>
    </row>
    <row r="62" spans="1:8" x14ac:dyDescent="0.15">
      <c r="A62">
        <v>62</v>
      </c>
      <c r="C62">
        <f t="shared" si="4"/>
        <v>13.937407862095437</v>
      </c>
      <c r="D62">
        <f t="shared" si="5"/>
        <v>13.479548967014505</v>
      </c>
      <c r="E62">
        <v>62</v>
      </c>
      <c r="G62">
        <f t="shared" si="6"/>
        <v>13.737391338259769</v>
      </c>
      <c r="H62">
        <f t="shared" si="7"/>
        <v>14.190314027999637</v>
      </c>
    </row>
    <row r="63" spans="1:8" x14ac:dyDescent="0.15">
      <c r="A63">
        <v>63</v>
      </c>
      <c r="C63">
        <f t="shared" si="4"/>
        <v>14.016795123660135</v>
      </c>
      <c r="D63">
        <f t="shared" si="5"/>
        <v>13.556915763071991</v>
      </c>
      <c r="E63">
        <v>63</v>
      </c>
      <c r="G63">
        <f t="shared" si="6"/>
        <v>13.841780665303926</v>
      </c>
      <c r="H63">
        <f t="shared" si="7"/>
        <v>14.297251740429182</v>
      </c>
    </row>
    <row r="64" spans="1:8" x14ac:dyDescent="0.15">
      <c r="A64">
        <v>64</v>
      </c>
      <c r="C64">
        <f t="shared" si="4"/>
        <v>14.096182385224832</v>
      </c>
      <c r="D64">
        <f t="shared" si="5"/>
        <v>13.634248426461381</v>
      </c>
      <c r="E64">
        <v>64</v>
      </c>
      <c r="G64">
        <f t="shared" si="6"/>
        <v>13.946169992348084</v>
      </c>
      <c r="H64">
        <f t="shared" si="7"/>
        <v>14.404250200457389</v>
      </c>
    </row>
    <row r="65" spans="1:8" x14ac:dyDescent="0.15">
      <c r="A65">
        <v>65</v>
      </c>
      <c r="C65">
        <f t="shared" ref="C65:C70" si="8">9.09478490664887+(A65-1)*0.0793872615646978</f>
        <v>14.17556964678953</v>
      </c>
      <c r="D65">
        <f t="shared" ref="D65:D70" si="9">0+1*C65-0.407658779328625*(1.00641025641026+(C65-10.2689435146369)^2/52.7669957088045)^0.5</f>
        <v>13.711547410580447</v>
      </c>
      <c r="E65">
        <v>65</v>
      </c>
      <c r="G65">
        <f t="shared" ref="G65:G70" si="10">7.36964238856613+(E65-1)*0.104389327044158</f>
        <v>14.050559319392242</v>
      </c>
      <c r="H65">
        <f t="shared" ref="H65:H70" si="11">0+1*G65+0.407658779328625*(1.00641025641026+(G65-10.2689435146369)^2/52.7669957088045)^0.5</f>
        <v>14.511308376079631</v>
      </c>
    </row>
    <row r="66" spans="1:8" x14ac:dyDescent="0.15">
      <c r="A66">
        <v>66</v>
      </c>
      <c r="C66">
        <f t="shared" si="8"/>
        <v>14.254956908354227</v>
      </c>
      <c r="D66">
        <f t="shared" si="9"/>
        <v>13.788813168068284</v>
      </c>
      <c r="E66">
        <v>66</v>
      </c>
      <c r="G66">
        <f t="shared" si="10"/>
        <v>14.1549486464364</v>
      </c>
      <c r="H66">
        <f t="shared" si="11"/>
        <v>14.618425235711761</v>
      </c>
    </row>
    <row r="67" spans="1:8" x14ac:dyDescent="0.15">
      <c r="A67">
        <v>67</v>
      </c>
      <c r="C67">
        <f t="shared" si="8"/>
        <v>14.334344169918925</v>
      </c>
      <c r="D67">
        <f t="shared" si="9"/>
        <v>13.866046150498867</v>
      </c>
      <c r="E67">
        <v>67</v>
      </c>
      <c r="G67">
        <f t="shared" si="10"/>
        <v>14.259337973480559</v>
      </c>
      <c r="H67">
        <f t="shared" si="11"/>
        <v>14.725599749487849</v>
      </c>
    </row>
    <row r="68" spans="1:8" x14ac:dyDescent="0.15">
      <c r="A68">
        <v>68</v>
      </c>
      <c r="C68">
        <f t="shared" si="8"/>
        <v>14.413731431483622</v>
      </c>
      <c r="D68">
        <f t="shared" si="9"/>
        <v>13.943246808088325</v>
      </c>
      <c r="E68">
        <v>68</v>
      </c>
      <c r="G68">
        <f t="shared" si="10"/>
        <v>14.363727300524715</v>
      </c>
      <c r="H68">
        <f t="shared" si="11"/>
        <v>14.832830890487285</v>
      </c>
    </row>
    <row r="69" spans="1:8" x14ac:dyDescent="0.15">
      <c r="A69">
        <v>69</v>
      </c>
      <c r="C69">
        <f t="shared" si="8"/>
        <v>14.49311869304832</v>
      </c>
      <c r="D69">
        <f t="shared" si="9"/>
        <v>14.020415589415849</v>
      </c>
      <c r="E69">
        <v>69</v>
      </c>
      <c r="G69">
        <f t="shared" si="10"/>
        <v>14.468116627568875</v>
      </c>
      <c r="H69">
        <f t="shared" si="11"/>
        <v>14.940117635891124</v>
      </c>
    </row>
    <row r="70" spans="1:8" x14ac:dyDescent="0.15">
      <c r="A70">
        <v>70</v>
      </c>
      <c r="C70">
        <f t="shared" si="8"/>
        <v>14.572505954613018</v>
      </c>
      <c r="D70">
        <f t="shared" si="9"/>
        <v>14.097552941158199</v>
      </c>
      <c r="E70">
        <v>70</v>
      </c>
      <c r="G70">
        <f t="shared" si="10"/>
        <v>14.572505954613032</v>
      </c>
      <c r="H70">
        <f t="shared" si="11"/>
        <v>15.047458968067851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XLSTAT_20211101_191759_1">
    <tabColor rgb="FF007800"/>
  </sheetPr>
  <dimension ref="B1:M314"/>
  <sheetViews>
    <sheetView topLeftCell="A54" zoomScaleNormal="100" workbookViewId="0">
      <selection activeCell="C66" sqref="C66"/>
    </sheetView>
  </sheetViews>
  <sheetFormatPr baseColWidth="10" defaultRowHeight="13" x14ac:dyDescent="0.15"/>
  <cols>
    <col min="1" max="1" width="5.83203125" customWidth="1"/>
  </cols>
  <sheetData>
    <row r="1" spans="2:9" x14ac:dyDescent="0.15">
      <c r="B1" t="s">
        <v>410</v>
      </c>
    </row>
    <row r="2" spans="2:9" x14ac:dyDescent="0.15">
      <c r="B2" t="s">
        <v>400</v>
      </c>
    </row>
    <row r="3" spans="2:9" x14ac:dyDescent="0.15">
      <c r="B3" t="s">
        <v>182</v>
      </c>
    </row>
    <row r="4" spans="2:9" x14ac:dyDescent="0.15">
      <c r="B4" t="s">
        <v>183</v>
      </c>
    </row>
    <row r="5" spans="2:9" x14ac:dyDescent="0.15">
      <c r="B5" t="s">
        <v>184</v>
      </c>
    </row>
    <row r="6" spans="2:9" ht="34.25" customHeight="1" x14ac:dyDescent="0.15"/>
    <row r="7" spans="2:9" ht="21" customHeight="1" x14ac:dyDescent="0.15">
      <c r="B7" s="4"/>
    </row>
    <row r="10" spans="2:9" x14ac:dyDescent="0.15">
      <c r="B10" s="4" t="s">
        <v>185</v>
      </c>
    </row>
    <row r="11" spans="2:9" ht="14" thickBot="1" x14ac:dyDescent="0.2"/>
    <row r="12" spans="2:9" ht="28" x14ac:dyDescent="0.15">
      <c r="B12" s="10" t="s">
        <v>186</v>
      </c>
      <c r="C12" s="11" t="s">
        <v>187</v>
      </c>
      <c r="D12" s="11" t="s">
        <v>188</v>
      </c>
      <c r="E12" s="11" t="s">
        <v>189</v>
      </c>
      <c r="F12" s="11" t="s">
        <v>190</v>
      </c>
      <c r="G12" s="11" t="s">
        <v>191</v>
      </c>
      <c r="H12" s="11" t="s">
        <v>192</v>
      </c>
      <c r="I12" s="11" t="s">
        <v>193</v>
      </c>
    </row>
    <row r="13" spans="2:9" x14ac:dyDescent="0.15">
      <c r="B13" s="12" t="s">
        <v>171</v>
      </c>
      <c r="C13" s="14">
        <v>156</v>
      </c>
      <c r="D13" s="14">
        <v>0</v>
      </c>
      <c r="E13" s="14">
        <v>156</v>
      </c>
      <c r="F13" s="17">
        <v>7.1212524532445416</v>
      </c>
      <c r="G13" s="17">
        <v>10.587417383546464</v>
      </c>
      <c r="H13" s="17">
        <v>8.143461355265547</v>
      </c>
      <c r="I13" s="17">
        <v>0.85160057513589227</v>
      </c>
    </row>
    <row r="14" spans="2:9" x14ac:dyDescent="0.15">
      <c r="B14" s="9" t="s">
        <v>169</v>
      </c>
      <c r="C14" s="15">
        <v>156</v>
      </c>
      <c r="D14" s="15">
        <v>0</v>
      </c>
      <c r="E14" s="15">
        <v>156</v>
      </c>
      <c r="F14" s="18">
        <v>1.2697605448639391</v>
      </c>
      <c r="G14" s="18">
        <v>1.7900914121273581</v>
      </c>
      <c r="H14" s="18">
        <v>1.6815474706308642</v>
      </c>
      <c r="I14" s="18">
        <v>0.10972903254880841</v>
      </c>
    </row>
    <row r="15" spans="2:9" x14ac:dyDescent="0.15">
      <c r="B15" s="9" t="s">
        <v>172</v>
      </c>
      <c r="C15" s="15">
        <v>156</v>
      </c>
      <c r="D15" s="15">
        <v>0</v>
      </c>
      <c r="E15" s="15">
        <v>156</v>
      </c>
      <c r="F15" s="18">
        <v>0.95551144502743635</v>
      </c>
      <c r="G15" s="18">
        <v>1.8389610707123492</v>
      </c>
      <c r="H15" s="18">
        <v>1.6373149418496353</v>
      </c>
      <c r="I15" s="18">
        <v>0.16067138311417037</v>
      </c>
    </row>
    <row r="16" spans="2:9" x14ac:dyDescent="0.15">
      <c r="B16" s="9" t="s">
        <v>174</v>
      </c>
      <c r="C16" s="15">
        <v>156</v>
      </c>
      <c r="D16" s="15">
        <v>0</v>
      </c>
      <c r="E16" s="15">
        <v>156</v>
      </c>
      <c r="F16" s="18">
        <v>0.51282362642866375</v>
      </c>
      <c r="G16" s="18">
        <v>1.2697605448639391</v>
      </c>
      <c r="H16" s="18">
        <v>0.98958105793969375</v>
      </c>
      <c r="I16" s="18">
        <v>0.13885612952641049</v>
      </c>
    </row>
    <row r="17" spans="2:9" x14ac:dyDescent="0.15">
      <c r="B17" s="9" t="s">
        <v>176</v>
      </c>
      <c r="C17" s="15">
        <v>156</v>
      </c>
      <c r="D17" s="15">
        <v>0</v>
      </c>
      <c r="E17" s="15">
        <v>156</v>
      </c>
      <c r="F17" s="18">
        <v>0.79750719588418817</v>
      </c>
      <c r="G17" s="18">
        <v>1.4906543764441336</v>
      </c>
      <c r="H17" s="18">
        <v>1.3504303899660413</v>
      </c>
      <c r="I17" s="18">
        <v>0.16707255202732604</v>
      </c>
    </row>
    <row r="18" spans="2:9" x14ac:dyDescent="0.15">
      <c r="B18" s="9" t="s">
        <v>178</v>
      </c>
      <c r="C18" s="15">
        <v>156</v>
      </c>
      <c r="D18" s="15">
        <v>0</v>
      </c>
      <c r="E18" s="15">
        <v>156</v>
      </c>
      <c r="F18" s="18">
        <v>0.86710048768338333</v>
      </c>
      <c r="G18" s="18">
        <v>1.6074359097634274</v>
      </c>
      <c r="H18" s="18">
        <v>1.3893426950776187</v>
      </c>
      <c r="I18" s="18">
        <v>0.14655049570642012</v>
      </c>
    </row>
    <row r="19" spans="2:9" ht="14" thickBot="1" x14ac:dyDescent="0.2">
      <c r="B19" s="13" t="s">
        <v>180</v>
      </c>
      <c r="C19" s="16">
        <v>156</v>
      </c>
      <c r="D19" s="16">
        <v>0</v>
      </c>
      <c r="E19" s="16">
        <v>156</v>
      </c>
      <c r="F19" s="19">
        <v>0.62593843086649537</v>
      </c>
      <c r="G19" s="19">
        <v>1.0986122886681098</v>
      </c>
      <c r="H19" s="19">
        <v>0.95585774489534447</v>
      </c>
      <c r="I19" s="19">
        <v>0.12442606208269026</v>
      </c>
    </row>
    <row r="22" spans="2:9" x14ac:dyDescent="0.15">
      <c r="B22" s="4" t="s">
        <v>194</v>
      </c>
    </row>
    <row r="23" spans="2:9" ht="14" thickBot="1" x14ac:dyDescent="0.2"/>
    <row r="24" spans="2:9" ht="28" x14ac:dyDescent="0.15">
      <c r="B24" s="10"/>
      <c r="C24" s="11" t="s">
        <v>169</v>
      </c>
      <c r="D24" s="11" t="s">
        <v>172</v>
      </c>
      <c r="E24" s="11" t="s">
        <v>174</v>
      </c>
      <c r="F24" s="11" t="s">
        <v>176</v>
      </c>
      <c r="G24" s="11" t="s">
        <v>178</v>
      </c>
      <c r="H24" s="11" t="s">
        <v>180</v>
      </c>
      <c r="I24" s="20" t="s">
        <v>171</v>
      </c>
    </row>
    <row r="25" spans="2:9" x14ac:dyDescent="0.15">
      <c r="B25" s="21" t="s">
        <v>169</v>
      </c>
      <c r="C25" s="27">
        <v>1</v>
      </c>
      <c r="D25" s="23">
        <v>-1.5875315508602807E-2</v>
      </c>
      <c r="E25" s="23">
        <v>0.30280790412706204</v>
      </c>
      <c r="F25" s="23">
        <v>0.11528187100139364</v>
      </c>
      <c r="G25" s="23">
        <v>0.10593256600628163</v>
      </c>
      <c r="H25" s="23">
        <v>0.26312060057623965</v>
      </c>
      <c r="I25" s="24">
        <v>0.31428841638928212</v>
      </c>
    </row>
    <row r="26" spans="2:9" x14ac:dyDescent="0.15">
      <c r="B26" s="9" t="s">
        <v>172</v>
      </c>
      <c r="C26" s="18">
        <v>-1.5875315508602807E-2</v>
      </c>
      <c r="D26" s="2">
        <v>1</v>
      </c>
      <c r="E26" s="18">
        <v>2.5661954373896949E-2</v>
      </c>
      <c r="F26" s="18">
        <v>2.690850432760741E-2</v>
      </c>
      <c r="G26" s="18">
        <v>7.7924085921378214E-2</v>
      </c>
      <c r="H26" s="18">
        <v>0.20281919970093448</v>
      </c>
      <c r="I26" s="25">
        <v>-0.74048319506566063</v>
      </c>
    </row>
    <row r="27" spans="2:9" x14ac:dyDescent="0.15">
      <c r="B27" s="9" t="s">
        <v>174</v>
      </c>
      <c r="C27" s="18">
        <v>0.30280790412706204</v>
      </c>
      <c r="D27" s="18">
        <v>2.5661954373896949E-2</v>
      </c>
      <c r="E27" s="2">
        <v>1</v>
      </c>
      <c r="F27" s="18">
        <v>-6.9728324283180224E-2</v>
      </c>
      <c r="G27" s="18">
        <v>-6.9512189983491582E-2</v>
      </c>
      <c r="H27" s="18">
        <v>0.19184387522268667</v>
      </c>
      <c r="I27" s="25">
        <v>8.8600825088284374E-2</v>
      </c>
    </row>
    <row r="28" spans="2:9" x14ac:dyDescent="0.15">
      <c r="B28" s="9" t="s">
        <v>176</v>
      </c>
      <c r="C28" s="18">
        <v>0.11528187100139364</v>
      </c>
      <c r="D28" s="18">
        <v>2.690850432760741E-2</v>
      </c>
      <c r="E28" s="18">
        <v>-6.9728324283180224E-2</v>
      </c>
      <c r="F28" s="2">
        <v>1</v>
      </c>
      <c r="G28" s="18">
        <v>5.8766758472414372E-4</v>
      </c>
      <c r="H28" s="18">
        <v>-2.5518683079415367E-2</v>
      </c>
      <c r="I28" s="25">
        <v>0.10441835944755497</v>
      </c>
    </row>
    <row r="29" spans="2:9" x14ac:dyDescent="0.15">
      <c r="B29" s="9" t="s">
        <v>178</v>
      </c>
      <c r="C29" s="18">
        <v>0.10593256600628163</v>
      </c>
      <c r="D29" s="18">
        <v>7.7924085921378214E-2</v>
      </c>
      <c r="E29" s="18">
        <v>-6.9512189983491582E-2</v>
      </c>
      <c r="F29" s="18">
        <v>5.8766758472414372E-4</v>
      </c>
      <c r="G29" s="2">
        <v>1</v>
      </c>
      <c r="H29" s="18">
        <v>4.2788420832566912E-2</v>
      </c>
      <c r="I29" s="25">
        <v>-7.2712260531668058E-2</v>
      </c>
    </row>
    <row r="30" spans="2:9" x14ac:dyDescent="0.15">
      <c r="B30" s="9" t="s">
        <v>180</v>
      </c>
      <c r="C30" s="18">
        <v>0.26312060057623965</v>
      </c>
      <c r="D30" s="18">
        <v>0.20281919970093448</v>
      </c>
      <c r="E30" s="18">
        <v>0.19184387522268667</v>
      </c>
      <c r="F30" s="18">
        <v>-2.5518683079415367E-2</v>
      </c>
      <c r="G30" s="18">
        <v>4.2788420832566912E-2</v>
      </c>
      <c r="H30" s="2">
        <v>1</v>
      </c>
      <c r="I30" s="25">
        <v>-2.7242577391020709E-2</v>
      </c>
    </row>
    <row r="31" spans="2:9" ht="14" thickBot="1" x14ac:dyDescent="0.2">
      <c r="B31" s="22" t="s">
        <v>171</v>
      </c>
      <c r="C31" s="26">
        <v>0.31428841638928212</v>
      </c>
      <c r="D31" s="26">
        <v>-0.74048319506566063</v>
      </c>
      <c r="E31" s="26">
        <v>8.8600825088284374E-2</v>
      </c>
      <c r="F31" s="26">
        <v>0.10441835944755497</v>
      </c>
      <c r="G31" s="26">
        <v>-7.2712260531668058E-2</v>
      </c>
      <c r="H31" s="26">
        <v>-2.7242577391020709E-2</v>
      </c>
      <c r="I31" s="28">
        <v>1</v>
      </c>
    </row>
    <row r="34" spans="2:3" x14ac:dyDescent="0.15">
      <c r="B34" s="8" t="s">
        <v>401</v>
      </c>
    </row>
    <row r="36" spans="2:3" x14ac:dyDescent="0.15">
      <c r="B36" s="4" t="s">
        <v>402</v>
      </c>
    </row>
    <row r="37" spans="2:3" ht="14" thickBot="1" x14ac:dyDescent="0.2"/>
    <row r="38" spans="2:3" x14ac:dyDescent="0.15">
      <c r="B38" s="29" t="s">
        <v>187</v>
      </c>
      <c r="C38" s="30">
        <v>156</v>
      </c>
    </row>
    <row r="39" spans="2:3" x14ac:dyDescent="0.15">
      <c r="B39" s="9" t="s">
        <v>197</v>
      </c>
      <c r="C39" s="15">
        <v>156</v>
      </c>
    </row>
    <row r="40" spans="2:3" x14ac:dyDescent="0.15">
      <c r="B40" s="9" t="s">
        <v>198</v>
      </c>
      <c r="C40" s="15">
        <v>149</v>
      </c>
    </row>
    <row r="41" spans="2:3" x14ac:dyDescent="0.15">
      <c r="B41" s="9" t="s">
        <v>199</v>
      </c>
      <c r="C41" s="18">
        <v>0.65297827447207479</v>
      </c>
    </row>
    <row r="42" spans="2:3" x14ac:dyDescent="0.15">
      <c r="B42" s="9" t="s">
        <v>200</v>
      </c>
      <c r="C42" s="18">
        <v>0.63900424525618515</v>
      </c>
    </row>
    <row r="43" spans="2:3" x14ac:dyDescent="0.15">
      <c r="B43" s="9" t="s">
        <v>201</v>
      </c>
      <c r="C43" s="18">
        <v>0.26180261902569646</v>
      </c>
    </row>
    <row r="44" spans="2:3" x14ac:dyDescent="0.15">
      <c r="B44" s="9" t="s">
        <v>202</v>
      </c>
      <c r="C44" s="18">
        <v>0.51166651153431608</v>
      </c>
    </row>
    <row r="45" spans="2:3" x14ac:dyDescent="0.15">
      <c r="B45" s="9" t="s">
        <v>203</v>
      </c>
      <c r="C45" s="18">
        <v>4.3467979434426098</v>
      </c>
    </row>
    <row r="46" spans="2:3" x14ac:dyDescent="0.15">
      <c r="B46" s="9" t="s">
        <v>204</v>
      </c>
      <c r="C46" s="18">
        <v>0.93525214232895726</v>
      </c>
    </row>
    <row r="47" spans="2:3" x14ac:dyDescent="0.15">
      <c r="B47" s="9" t="s">
        <v>205</v>
      </c>
      <c r="C47" s="18">
        <v>7</v>
      </c>
    </row>
    <row r="48" spans="2:3" x14ac:dyDescent="0.15">
      <c r="B48" s="9" t="s">
        <v>206</v>
      </c>
      <c r="C48" s="18">
        <v>-202.22756317904427</v>
      </c>
    </row>
    <row r="49" spans="2:8" x14ac:dyDescent="0.15">
      <c r="B49" s="9" t="s">
        <v>207</v>
      </c>
      <c r="C49" s="18">
        <v>-180.87857112829749</v>
      </c>
    </row>
    <row r="50" spans="2:8" ht="14" thickBot="1" x14ac:dyDescent="0.2">
      <c r="B50" s="13" t="s">
        <v>208</v>
      </c>
      <c r="C50" s="19">
        <v>0.37962779369833427</v>
      </c>
    </row>
    <row r="53" spans="2:8" x14ac:dyDescent="0.15">
      <c r="B53" s="4" t="s">
        <v>403</v>
      </c>
    </row>
    <row r="54" spans="2:8" ht="14" thickBot="1" x14ac:dyDescent="0.2"/>
    <row r="55" spans="2:8" ht="28" x14ac:dyDescent="0.15">
      <c r="B55" s="10" t="s">
        <v>210</v>
      </c>
      <c r="C55" s="11" t="s">
        <v>198</v>
      </c>
      <c r="D55" s="11" t="s">
        <v>211</v>
      </c>
      <c r="E55" s="11" t="s">
        <v>212</v>
      </c>
      <c r="F55" s="11" t="s">
        <v>213</v>
      </c>
      <c r="G55" s="11" t="s">
        <v>214</v>
      </c>
    </row>
    <row r="56" spans="2:8" x14ac:dyDescent="0.15">
      <c r="B56" s="21" t="s">
        <v>215</v>
      </c>
      <c r="C56" s="31">
        <v>6</v>
      </c>
      <c r="D56" s="23">
        <v>73.401058398797517</v>
      </c>
      <c r="E56" s="23">
        <v>12.233509733132919</v>
      </c>
      <c r="F56" s="23">
        <v>46.727988354968197</v>
      </c>
      <c r="G56" s="35">
        <v>7.1295256584134543E-32</v>
      </c>
    </row>
    <row r="57" spans="2:8" x14ac:dyDescent="0.15">
      <c r="B57" s="9" t="s">
        <v>216</v>
      </c>
      <c r="C57" s="15">
        <v>149</v>
      </c>
      <c r="D57" s="18">
        <v>39.008590234828773</v>
      </c>
      <c r="E57" s="18">
        <v>0.26180261902569646</v>
      </c>
      <c r="F57" s="18"/>
      <c r="G57" s="36"/>
    </row>
    <row r="58" spans="2:8" ht="14" thickBot="1" x14ac:dyDescent="0.2">
      <c r="B58" s="13" t="s">
        <v>217</v>
      </c>
      <c r="C58" s="16">
        <v>155</v>
      </c>
      <c r="D58" s="19">
        <v>112.40964863362629</v>
      </c>
      <c r="E58" s="19"/>
      <c r="F58" s="19"/>
      <c r="G58" s="37"/>
    </row>
    <row r="59" spans="2:8" x14ac:dyDescent="0.15">
      <c r="B59" s="38" t="s">
        <v>218</v>
      </c>
    </row>
    <row r="62" spans="2:8" x14ac:dyDescent="0.15">
      <c r="B62" s="4" t="s">
        <v>404</v>
      </c>
    </row>
    <row r="63" spans="2:8" ht="14" thickBot="1" x14ac:dyDescent="0.2"/>
    <row r="64" spans="2:8" ht="26" customHeight="1" x14ac:dyDescent="0.15">
      <c r="B64" s="41" t="s">
        <v>210</v>
      </c>
      <c r="C64" s="42" t="s">
        <v>220</v>
      </c>
      <c r="D64" s="42" t="s">
        <v>221</v>
      </c>
      <c r="E64" s="42" t="s">
        <v>222</v>
      </c>
      <c r="F64" s="42" t="s">
        <v>223</v>
      </c>
      <c r="G64" s="42" t="s">
        <v>224</v>
      </c>
      <c r="H64" s="42" t="s">
        <v>225</v>
      </c>
    </row>
    <row r="65" spans="2:8" x14ac:dyDescent="0.15">
      <c r="B65" s="43" t="s">
        <v>226</v>
      </c>
      <c r="C65" s="44">
        <v>10.262819986906425</v>
      </c>
      <c r="D65" s="44">
        <v>0.8717227796343634</v>
      </c>
      <c r="E65" s="44">
        <v>11.773031778762368</v>
      </c>
      <c r="F65" s="45">
        <v>4.9228010982495329E-23</v>
      </c>
      <c r="G65" s="44">
        <v>8.5402842870570748</v>
      </c>
      <c r="H65" s="44">
        <v>11.985355686755776</v>
      </c>
    </row>
    <row r="66" spans="2:8" x14ac:dyDescent="0.15">
      <c r="B66" s="46" t="s">
        <v>169</v>
      </c>
      <c r="C66" s="47">
        <v>2.1520556376233806</v>
      </c>
      <c r="D66" s="47">
        <v>0.41225701262605113</v>
      </c>
      <c r="E66" s="47">
        <v>5.2201795766066468</v>
      </c>
      <c r="F66" s="48">
        <v>5.9044949951569947E-7</v>
      </c>
      <c r="G66" s="47">
        <v>1.3374303480795258</v>
      </c>
      <c r="H66" s="47">
        <v>2.9666809271672356</v>
      </c>
    </row>
    <row r="67" spans="2:8" x14ac:dyDescent="0.15">
      <c r="B67" s="46" t="s">
        <v>172</v>
      </c>
      <c r="C67" s="47">
        <v>-3.9548189994317267</v>
      </c>
      <c r="D67" s="47">
        <v>0.26303410449358616</v>
      </c>
      <c r="E67" s="47">
        <v>-15.035384886860408</v>
      </c>
      <c r="F67" s="48">
        <v>0</v>
      </c>
      <c r="G67" s="47">
        <v>-4.4745778560927274</v>
      </c>
      <c r="H67" s="47">
        <v>-3.4350601427707259</v>
      </c>
    </row>
    <row r="68" spans="2:8" x14ac:dyDescent="0.15">
      <c r="B68" s="46" t="s">
        <v>174</v>
      </c>
      <c r="C68" s="47">
        <v>0.10594089799166238</v>
      </c>
      <c r="D68" s="47">
        <v>0.31665194208438896</v>
      </c>
      <c r="E68" s="47">
        <v>0.33456576105075247</v>
      </c>
      <c r="F68" s="49">
        <v>0.73842316318913648</v>
      </c>
      <c r="G68" s="47">
        <v>-0.51976751230796359</v>
      </c>
      <c r="H68" s="47">
        <v>0.73164930829128838</v>
      </c>
    </row>
    <row r="69" spans="2:8" x14ac:dyDescent="0.15">
      <c r="B69" s="46" t="s">
        <v>176</v>
      </c>
      <c r="C69" s="47">
        <v>0.48470032980660488</v>
      </c>
      <c r="D69" s="47">
        <v>0.24974466490949568</v>
      </c>
      <c r="E69" s="47">
        <v>1.9407835197690977</v>
      </c>
      <c r="F69" s="49">
        <v>5.417225941670023E-2</v>
      </c>
      <c r="G69" s="47">
        <v>-8.7984191121290301E-3</v>
      </c>
      <c r="H69" s="47">
        <v>0.97819907872533873</v>
      </c>
    </row>
    <row r="70" spans="2:8" x14ac:dyDescent="0.15">
      <c r="B70" s="46" t="s">
        <v>178</v>
      </c>
      <c r="C70" s="47">
        <v>-0.261671290035008</v>
      </c>
      <c r="D70" s="47">
        <v>0.28478029168425906</v>
      </c>
      <c r="E70" s="47">
        <v>-0.91885322712263939</v>
      </c>
      <c r="F70" s="49">
        <v>0.35965741792325834</v>
      </c>
      <c r="G70" s="47">
        <v>-0.8244008991492745</v>
      </c>
      <c r="H70" s="47">
        <v>0.30105831907925851</v>
      </c>
    </row>
    <row r="71" spans="2:8" ht="14" thickBot="1" x14ac:dyDescent="0.2">
      <c r="B71" s="50" t="s">
        <v>180</v>
      </c>
      <c r="C71" s="51">
        <v>0.35706341259493335</v>
      </c>
      <c r="D71" s="51">
        <v>0.35351990508426639</v>
      </c>
      <c r="E71" s="51">
        <v>1.0100235020990467</v>
      </c>
      <c r="F71" s="52">
        <v>0.31412141700098739</v>
      </c>
      <c r="G71" s="51">
        <v>-0.34149657842700787</v>
      </c>
      <c r="H71" s="51">
        <v>1.0556234036168746</v>
      </c>
    </row>
    <row r="74" spans="2:8" x14ac:dyDescent="0.15">
      <c r="B74" s="4" t="s">
        <v>405</v>
      </c>
    </row>
    <row r="76" spans="2:8" x14ac:dyDescent="0.15">
      <c r="B76" t="s">
        <v>406</v>
      </c>
    </row>
    <row r="79" spans="2:8" x14ac:dyDescent="0.15">
      <c r="B79" s="4" t="s">
        <v>407</v>
      </c>
    </row>
    <row r="80" spans="2:8" ht="14" thickBot="1" x14ac:dyDescent="0.2"/>
    <row r="81" spans="2:8" ht="26" customHeight="1" x14ac:dyDescent="0.15">
      <c r="B81" s="10" t="s">
        <v>210</v>
      </c>
      <c r="C81" s="11" t="s">
        <v>220</v>
      </c>
      <c r="D81" s="11" t="s">
        <v>221</v>
      </c>
      <c r="E81" s="11" t="s">
        <v>222</v>
      </c>
      <c r="F81" s="11" t="s">
        <v>223</v>
      </c>
      <c r="G81" s="11" t="s">
        <v>224</v>
      </c>
      <c r="H81" s="11" t="s">
        <v>225</v>
      </c>
    </row>
    <row r="82" spans="2:8" x14ac:dyDescent="0.15">
      <c r="B82" s="21" t="s">
        <v>169</v>
      </c>
      <c r="C82" s="23">
        <v>0.27729312309346499</v>
      </c>
      <c r="D82" s="23">
        <v>5.3119460551914209E-2</v>
      </c>
      <c r="E82" s="23">
        <v>5.2201795766066468</v>
      </c>
      <c r="F82" s="35">
        <v>5.9044949951569947E-7</v>
      </c>
      <c r="G82" s="23">
        <v>0.17232836905114154</v>
      </c>
      <c r="H82" s="23">
        <v>0.3822578771357884</v>
      </c>
    </row>
    <row r="83" spans="2:8" x14ac:dyDescent="0.15">
      <c r="B83" s="9" t="s">
        <v>172</v>
      </c>
      <c r="C83" s="18">
        <v>-0.74615524831403301</v>
      </c>
      <c r="D83" s="18">
        <v>4.9626614411853627E-2</v>
      </c>
      <c r="E83" s="18">
        <v>-15.03538488686041</v>
      </c>
      <c r="F83" s="36">
        <v>0</v>
      </c>
      <c r="G83" s="18">
        <v>-0.84421809235595591</v>
      </c>
      <c r="H83" s="18">
        <v>-0.64809240427211012</v>
      </c>
    </row>
    <row r="84" spans="2:8" x14ac:dyDescent="0.15">
      <c r="B84" s="9" t="s">
        <v>174</v>
      </c>
      <c r="C84" s="18">
        <v>1.7273993798474257E-2</v>
      </c>
      <c r="D84" s="18">
        <v>5.1631086648624071E-2</v>
      </c>
      <c r="E84" s="18">
        <v>0.33456576105075247</v>
      </c>
      <c r="F84" s="33">
        <v>0.73842316318913648</v>
      </c>
      <c r="G84" s="18">
        <v>-8.4749713797619183E-2</v>
      </c>
      <c r="H84" s="18">
        <v>0.1192977013945677</v>
      </c>
    </row>
    <row r="85" spans="2:8" x14ac:dyDescent="0.15">
      <c r="B85" s="9" t="s">
        <v>176</v>
      </c>
      <c r="C85" s="18">
        <v>9.5091670242653234E-2</v>
      </c>
      <c r="D85" s="18">
        <v>4.8996536333926949E-2</v>
      </c>
      <c r="E85" s="18">
        <v>1.9407835197690979</v>
      </c>
      <c r="F85" s="33">
        <v>5.417225941670023E-2</v>
      </c>
      <c r="G85" s="18">
        <v>-1.7261312143134894E-3</v>
      </c>
      <c r="H85" s="18">
        <v>0.19190947169961997</v>
      </c>
    </row>
    <row r="86" spans="2:8" x14ac:dyDescent="0.15">
      <c r="B86" s="9" t="s">
        <v>178</v>
      </c>
      <c r="C86" s="18">
        <v>-4.5030567599898048E-2</v>
      </c>
      <c r="D86" s="18">
        <v>4.9007356420687424E-2</v>
      </c>
      <c r="E86" s="18">
        <v>-0.9188532271226395</v>
      </c>
      <c r="F86" s="33">
        <v>0.35965741792325834</v>
      </c>
      <c r="G86" s="18">
        <v>-0.14186974969088723</v>
      </c>
      <c r="H86" s="18">
        <v>5.1808614491091122E-2</v>
      </c>
    </row>
    <row r="87" spans="2:8" ht="14" thickBot="1" x14ac:dyDescent="0.2">
      <c r="B87" s="13" t="s">
        <v>180</v>
      </c>
      <c r="C87" s="19">
        <v>5.2169991003006226E-2</v>
      </c>
      <c r="D87" s="19">
        <v>5.1652254521390564E-2</v>
      </c>
      <c r="E87" s="19">
        <v>1.0100235020990469</v>
      </c>
      <c r="F87" s="34">
        <v>0.31412141700098739</v>
      </c>
      <c r="G87" s="19">
        <v>-4.9895544588617453E-2</v>
      </c>
      <c r="H87" s="19">
        <v>0.15423552659462991</v>
      </c>
    </row>
    <row r="109" spans="2:6" x14ac:dyDescent="0.15">
      <c r="F109" t="s">
        <v>230</v>
      </c>
    </row>
    <row r="112" spans="2:6" x14ac:dyDescent="0.15">
      <c r="B112" s="4" t="s">
        <v>408</v>
      </c>
    </row>
    <row r="113" spans="2:13" ht="14" thickBot="1" x14ac:dyDescent="0.2"/>
    <row r="114" spans="2:13" ht="56" x14ac:dyDescent="0.15">
      <c r="B114" s="10" t="s">
        <v>232</v>
      </c>
      <c r="C114" s="11" t="s">
        <v>233</v>
      </c>
      <c r="D114" s="11" t="s">
        <v>171</v>
      </c>
      <c r="E114" s="11" t="s">
        <v>409</v>
      </c>
      <c r="F114" s="11" t="s">
        <v>391</v>
      </c>
      <c r="G114" s="11" t="s">
        <v>392</v>
      </c>
      <c r="H114" s="11" t="s">
        <v>393</v>
      </c>
      <c r="I114" s="11" t="s">
        <v>394</v>
      </c>
      <c r="J114" s="11" t="s">
        <v>395</v>
      </c>
      <c r="K114" s="11" t="s">
        <v>396</v>
      </c>
      <c r="L114" s="11" t="s">
        <v>397</v>
      </c>
      <c r="M114" s="11" t="s">
        <v>398</v>
      </c>
    </row>
    <row r="115" spans="2:13" x14ac:dyDescent="0.15">
      <c r="B115" s="21" t="s">
        <v>234</v>
      </c>
      <c r="C115" s="31">
        <v>1</v>
      </c>
      <c r="D115" s="23">
        <v>7.8172227855081662</v>
      </c>
      <c r="E115" s="23">
        <v>8.0636985665137946</v>
      </c>
      <c r="F115" s="23">
        <v>-0.24647578100562839</v>
      </c>
      <c r="G115" s="23">
        <v>-0.48171177016555233</v>
      </c>
      <c r="H115" s="23">
        <v>6.5210063807797813E-2</v>
      </c>
      <c r="I115" s="23">
        <v>7.934842621111633</v>
      </c>
      <c r="J115" s="23">
        <v>8.1925545119159562</v>
      </c>
      <c r="K115" s="23">
        <v>0.51580516810857324</v>
      </c>
      <c r="L115" s="23">
        <v>7.0444607572110671</v>
      </c>
      <c r="M115" s="23">
        <v>9.0829363758165229</v>
      </c>
    </row>
    <row r="116" spans="2:13" x14ac:dyDescent="0.15">
      <c r="B116" s="9" t="s">
        <v>235</v>
      </c>
      <c r="C116" s="15">
        <v>1</v>
      </c>
      <c r="D116" s="18">
        <v>8.3074593270119461</v>
      </c>
      <c r="E116" s="18">
        <v>8.2002892909070404</v>
      </c>
      <c r="F116" s="18">
        <v>0.10717003610490572</v>
      </c>
      <c r="G116" s="18">
        <v>0.20945290279705578</v>
      </c>
      <c r="H116" s="18">
        <v>6.3139183522707421E-2</v>
      </c>
      <c r="I116" s="18">
        <v>8.0755254322376349</v>
      </c>
      <c r="J116" s="18">
        <v>8.3250531495764459</v>
      </c>
      <c r="K116" s="18">
        <v>0.5155474522501402</v>
      </c>
      <c r="L116" s="18">
        <v>7.1815607315366758</v>
      </c>
      <c r="M116" s="18">
        <v>9.2190178502774049</v>
      </c>
    </row>
    <row r="117" spans="2:13" x14ac:dyDescent="0.15">
      <c r="B117" s="9" t="s">
        <v>236</v>
      </c>
      <c r="C117" s="15">
        <v>1</v>
      </c>
      <c r="D117" s="18">
        <v>9.7162539513811534</v>
      </c>
      <c r="E117" s="18">
        <v>8.5244728864944932</v>
      </c>
      <c r="F117" s="18">
        <v>1.1917810648866602</v>
      </c>
      <c r="G117" s="18">
        <v>2.3292145137912366</v>
      </c>
      <c r="H117" s="18">
        <v>0.10357782727402486</v>
      </c>
      <c r="I117" s="18">
        <v>8.3198017348846047</v>
      </c>
      <c r="J117" s="18">
        <v>8.7291440381043817</v>
      </c>
      <c r="K117" s="18">
        <v>0.52204500316400326</v>
      </c>
      <c r="L117" s="18">
        <v>7.4929050808956292</v>
      </c>
      <c r="M117" s="18">
        <v>9.556040692093358</v>
      </c>
    </row>
    <row r="118" spans="2:13" x14ac:dyDescent="0.15">
      <c r="B118" s="9" t="s">
        <v>237</v>
      </c>
      <c r="C118" s="15">
        <v>1</v>
      </c>
      <c r="D118" s="18">
        <v>9.3524473886010124</v>
      </c>
      <c r="E118" s="18">
        <v>8.3863216240080245</v>
      </c>
      <c r="F118" s="18">
        <v>0.96612576459298793</v>
      </c>
      <c r="G118" s="18">
        <v>1.8881942492110753</v>
      </c>
      <c r="H118" s="18">
        <v>8.0832055390808275E-2</v>
      </c>
      <c r="I118" s="18">
        <v>8.2265964173760846</v>
      </c>
      <c r="J118" s="18">
        <v>8.5460468306399644</v>
      </c>
      <c r="K118" s="18">
        <v>0.51801200778012779</v>
      </c>
      <c r="L118" s="18">
        <v>7.3627230704332582</v>
      </c>
      <c r="M118" s="18">
        <v>9.4099201775827908</v>
      </c>
    </row>
    <row r="119" spans="2:13" x14ac:dyDescent="0.15">
      <c r="B119" s="9" t="s">
        <v>238</v>
      </c>
      <c r="C119" s="15">
        <v>1</v>
      </c>
      <c r="D119" s="18">
        <v>7.8984110928115987</v>
      </c>
      <c r="E119" s="18">
        <v>8.0521296087173031</v>
      </c>
      <c r="F119" s="18">
        <v>-0.1537185159057044</v>
      </c>
      <c r="G119" s="18">
        <v>-0.3004271580032748</v>
      </c>
      <c r="H119" s="18">
        <v>7.2164668065966026E-2</v>
      </c>
      <c r="I119" s="18">
        <v>7.9095312736553884</v>
      </c>
      <c r="J119" s="18">
        <v>8.1947279437792186</v>
      </c>
      <c r="K119" s="18">
        <v>0.51673045037308141</v>
      </c>
      <c r="L119" s="18">
        <v>7.0310634294668253</v>
      </c>
      <c r="M119" s="18">
        <v>9.07319578796778</v>
      </c>
    </row>
    <row r="120" spans="2:13" x14ac:dyDescent="0.15">
      <c r="B120" s="9" t="s">
        <v>239</v>
      </c>
      <c r="C120" s="15">
        <v>1</v>
      </c>
      <c r="D120" s="18">
        <v>7.5579949585308057</v>
      </c>
      <c r="E120" s="18">
        <v>7.9272354241683214</v>
      </c>
      <c r="F120" s="18">
        <v>-0.36924046563751567</v>
      </c>
      <c r="G120" s="18">
        <v>-0.72164282264689839</v>
      </c>
      <c r="H120" s="18">
        <v>9.2624459522321609E-2</v>
      </c>
      <c r="I120" s="18">
        <v>7.7442082715758751</v>
      </c>
      <c r="J120" s="18">
        <v>8.1102625767607677</v>
      </c>
      <c r="K120" s="18">
        <v>0.51998260502395521</v>
      </c>
      <c r="L120" s="18">
        <v>6.8997429444718339</v>
      </c>
      <c r="M120" s="18">
        <v>8.9547279038648089</v>
      </c>
    </row>
    <row r="121" spans="2:13" x14ac:dyDescent="0.15">
      <c r="B121" s="9" t="s">
        <v>240</v>
      </c>
      <c r="C121" s="15">
        <v>1</v>
      </c>
      <c r="D121" s="18">
        <v>7.8172227855081662</v>
      </c>
      <c r="E121" s="18">
        <v>8.0489190190428754</v>
      </c>
      <c r="F121" s="18">
        <v>-0.23169623353470925</v>
      </c>
      <c r="G121" s="18">
        <v>-0.45282665234418029</v>
      </c>
      <c r="H121" s="18">
        <v>0.16674964310176199</v>
      </c>
      <c r="I121" s="18">
        <v>7.7194195268988253</v>
      </c>
      <c r="J121" s="18">
        <v>8.3784185111869256</v>
      </c>
      <c r="K121" s="18">
        <v>0.53815245284237201</v>
      </c>
      <c r="L121" s="18">
        <v>6.9855226806205888</v>
      </c>
      <c r="M121" s="18">
        <v>9.1123153574651621</v>
      </c>
    </row>
    <row r="122" spans="2:13" x14ac:dyDescent="0.15">
      <c r="B122" s="9" t="s">
        <v>241</v>
      </c>
      <c r="C122" s="15">
        <v>1</v>
      </c>
      <c r="D122" s="18">
        <v>7.7012001808574464</v>
      </c>
      <c r="E122" s="18">
        <v>7.8803875331157673</v>
      </c>
      <c r="F122" s="18">
        <v>-0.17918735225832094</v>
      </c>
      <c r="G122" s="18">
        <v>-0.35020340049419735</v>
      </c>
      <c r="H122" s="18">
        <v>8.823657805195316E-2</v>
      </c>
      <c r="I122" s="18">
        <v>7.7060308921309071</v>
      </c>
      <c r="J122" s="18">
        <v>8.0547441741006267</v>
      </c>
      <c r="K122" s="18">
        <v>0.51921894488935483</v>
      </c>
      <c r="L122" s="18">
        <v>6.8544040559085264</v>
      </c>
      <c r="M122" s="18">
        <v>8.9063710103230083</v>
      </c>
    </row>
    <row r="123" spans="2:13" x14ac:dyDescent="0.15">
      <c r="B123" s="9" t="s">
        <v>242</v>
      </c>
      <c r="C123" s="15">
        <v>1</v>
      </c>
      <c r="D123" s="18">
        <v>8.0861025356691005</v>
      </c>
      <c r="E123" s="18">
        <v>7.8542270023798286</v>
      </c>
      <c r="F123" s="18">
        <v>0.23187553328927191</v>
      </c>
      <c r="G123" s="18">
        <v>0.45317707542351177</v>
      </c>
      <c r="H123" s="18">
        <v>8.4781410241392546E-2</v>
      </c>
      <c r="I123" s="18">
        <v>7.6866978185197636</v>
      </c>
      <c r="J123" s="18">
        <v>8.0217561862398927</v>
      </c>
      <c r="K123" s="18">
        <v>0.51864294707266168</v>
      </c>
      <c r="L123" s="18">
        <v>6.8293817044486929</v>
      </c>
      <c r="M123" s="18">
        <v>8.8790723003109644</v>
      </c>
    </row>
    <row r="124" spans="2:13" x14ac:dyDescent="0.15">
      <c r="B124" s="9" t="s">
        <v>243</v>
      </c>
      <c r="C124" s="15">
        <v>1</v>
      </c>
      <c r="D124" s="18">
        <v>7.796469243086058</v>
      </c>
      <c r="E124" s="18">
        <v>8.0720653276721421</v>
      </c>
      <c r="F124" s="18">
        <v>-0.27559608458608409</v>
      </c>
      <c r="G124" s="18">
        <v>-0.53862443285503281</v>
      </c>
      <c r="H124" s="18">
        <v>5.9532268036783652E-2</v>
      </c>
      <c r="I124" s="18">
        <v>7.9544287815337329</v>
      </c>
      <c r="J124" s="18">
        <v>8.1897018738105523</v>
      </c>
      <c r="K124" s="18">
        <v>0.51511815145974027</v>
      </c>
      <c r="L124" s="18">
        <v>7.0541850723208004</v>
      </c>
      <c r="M124" s="18">
        <v>9.0899455830234839</v>
      </c>
    </row>
    <row r="125" spans="2:13" x14ac:dyDescent="0.15">
      <c r="B125" s="9" t="s">
        <v>244</v>
      </c>
      <c r="C125" s="15">
        <v>1</v>
      </c>
      <c r="D125" s="18">
        <v>8.2319082435641775</v>
      </c>
      <c r="E125" s="18">
        <v>7.9588557781798785</v>
      </c>
      <c r="F125" s="18">
        <v>0.27305246538429895</v>
      </c>
      <c r="G125" s="18">
        <v>0.53365318860815469</v>
      </c>
      <c r="H125" s="18">
        <v>0.1859718550734426</v>
      </c>
      <c r="I125" s="18">
        <v>7.5913729418754521</v>
      </c>
      <c r="J125" s="18">
        <v>8.326338614484305</v>
      </c>
      <c r="K125" s="18">
        <v>0.54441542034107926</v>
      </c>
      <c r="L125" s="18">
        <v>6.8830837334487081</v>
      </c>
      <c r="M125" s="18">
        <v>9.0346278229110499</v>
      </c>
    </row>
    <row r="126" spans="2:13" x14ac:dyDescent="0.15">
      <c r="B126" s="9" t="s">
        <v>245</v>
      </c>
      <c r="C126" s="15">
        <v>1</v>
      </c>
      <c r="D126" s="18">
        <v>9.3014599653436658</v>
      </c>
      <c r="E126" s="18">
        <v>8.3521610395435086</v>
      </c>
      <c r="F126" s="18">
        <v>0.94929892580015718</v>
      </c>
      <c r="G126" s="18">
        <v>1.8553079093519886</v>
      </c>
      <c r="H126" s="18">
        <v>0.1055609103338572</v>
      </c>
      <c r="I126" s="18">
        <v>8.1435712896749397</v>
      </c>
      <c r="J126" s="18">
        <v>8.5607507894120776</v>
      </c>
      <c r="K126" s="18">
        <v>0.52244207795334507</v>
      </c>
      <c r="L126" s="18">
        <v>7.3198086089283771</v>
      </c>
      <c r="M126" s="18">
        <v>9.384513470158641</v>
      </c>
    </row>
    <row r="127" spans="2:13" x14ac:dyDescent="0.15">
      <c r="B127" s="9" t="s">
        <v>246</v>
      </c>
      <c r="C127" s="15">
        <v>1</v>
      </c>
      <c r="D127" s="18">
        <v>9.0531015955496912</v>
      </c>
      <c r="E127" s="18">
        <v>8.4214686942942834</v>
      </c>
      <c r="F127" s="18">
        <v>0.63163290125540783</v>
      </c>
      <c r="G127" s="18">
        <v>1.234462070541519</v>
      </c>
      <c r="H127" s="18">
        <v>6.3371879444958978E-2</v>
      </c>
      <c r="I127" s="18">
        <v>8.2962450254161144</v>
      </c>
      <c r="J127" s="18">
        <v>8.5466923631724523</v>
      </c>
      <c r="K127" s="18">
        <v>0.51557600228296396</v>
      </c>
      <c r="L127" s="18">
        <v>7.4026837196828357</v>
      </c>
      <c r="M127" s="18">
        <v>9.440253668905731</v>
      </c>
    </row>
    <row r="128" spans="2:13" x14ac:dyDescent="0.15">
      <c r="B128" s="9" t="s">
        <v>247</v>
      </c>
      <c r="C128" s="15">
        <v>1</v>
      </c>
      <c r="D128" s="18">
        <v>7.6727578966425103</v>
      </c>
      <c r="E128" s="18">
        <v>7.996983585119537</v>
      </c>
      <c r="F128" s="18">
        <v>-0.32422568847702671</v>
      </c>
      <c r="G128" s="18">
        <v>-0.63366603279308376</v>
      </c>
      <c r="H128" s="18">
        <v>8.1286770353651436E-2</v>
      </c>
      <c r="I128" s="18">
        <v>7.8363598557289267</v>
      </c>
      <c r="J128" s="18">
        <v>8.1576073145101464</v>
      </c>
      <c r="K128" s="18">
        <v>0.51808315747592459</v>
      </c>
      <c r="L128" s="18">
        <v>6.9732444388082877</v>
      </c>
      <c r="M128" s="18">
        <v>9.0207227314307872</v>
      </c>
    </row>
    <row r="129" spans="2:13" x14ac:dyDescent="0.15">
      <c r="B129" s="9" t="s">
        <v>248</v>
      </c>
      <c r="C129" s="15">
        <v>1</v>
      </c>
      <c r="D129" s="18">
        <v>7.9714309977693505</v>
      </c>
      <c r="E129" s="18">
        <v>8.0175010605631627</v>
      </c>
      <c r="F129" s="18">
        <v>-4.6070062793812205E-2</v>
      </c>
      <c r="G129" s="18">
        <v>-9.0039237970965802E-2</v>
      </c>
      <c r="H129" s="18">
        <v>6.2779941573127274E-2</v>
      </c>
      <c r="I129" s="18">
        <v>7.8934470687201062</v>
      </c>
      <c r="J129" s="18">
        <v>8.1415550524062201</v>
      </c>
      <c r="K129" s="18">
        <v>0.5155035791239686</v>
      </c>
      <c r="L129" s="18">
        <v>6.9988591950682597</v>
      </c>
      <c r="M129" s="18">
        <v>9.0361429260580657</v>
      </c>
    </row>
    <row r="130" spans="2:13" x14ac:dyDescent="0.15">
      <c r="B130" s="9" t="s">
        <v>249</v>
      </c>
      <c r="C130" s="15">
        <v>1</v>
      </c>
      <c r="D130" s="18">
        <v>8.0649508917491435</v>
      </c>
      <c r="E130" s="18">
        <v>8.1545526205290138</v>
      </c>
      <c r="F130" s="18">
        <v>-8.9601728779870271E-2</v>
      </c>
      <c r="G130" s="18">
        <v>-0.17511743833143342</v>
      </c>
      <c r="H130" s="18">
        <v>9.1087148243453958E-2</v>
      </c>
      <c r="I130" s="18">
        <v>7.9745632152818198</v>
      </c>
      <c r="J130" s="18">
        <v>8.3345420257762068</v>
      </c>
      <c r="K130" s="18">
        <v>0.51971096544215944</v>
      </c>
      <c r="L130" s="18">
        <v>7.1275969042257366</v>
      </c>
      <c r="M130" s="18">
        <v>9.181508336832291</v>
      </c>
    </row>
    <row r="131" spans="2:13" x14ac:dyDescent="0.15">
      <c r="B131" s="9" t="s">
        <v>250</v>
      </c>
      <c r="C131" s="15">
        <v>1</v>
      </c>
      <c r="D131" s="18">
        <v>7.6515955738576009</v>
      </c>
      <c r="E131" s="18">
        <v>8.0972106130972108</v>
      </c>
      <c r="F131" s="18">
        <v>-0.44561503923960988</v>
      </c>
      <c r="G131" s="18">
        <v>-0.87090913552923366</v>
      </c>
      <c r="H131" s="18">
        <v>5.3046896391461928E-2</v>
      </c>
      <c r="I131" s="18">
        <v>7.9923892467921691</v>
      </c>
      <c r="J131" s="18">
        <v>8.2020319794022534</v>
      </c>
      <c r="K131" s="18">
        <v>0.51440897371883298</v>
      </c>
      <c r="L131" s="18">
        <v>7.0807317023072258</v>
      </c>
      <c r="M131" s="18">
        <v>9.1136895238871958</v>
      </c>
    </row>
    <row r="132" spans="2:13" x14ac:dyDescent="0.15">
      <c r="B132" s="9" t="s">
        <v>251</v>
      </c>
      <c r="C132" s="15">
        <v>1</v>
      </c>
      <c r="D132" s="18">
        <v>7.7217917768175353</v>
      </c>
      <c r="E132" s="18">
        <v>8.0187474832086778</v>
      </c>
      <c r="F132" s="18">
        <v>-0.29695570639114255</v>
      </c>
      <c r="G132" s="18">
        <v>-0.5803696347073255</v>
      </c>
      <c r="H132" s="18">
        <v>9.6924336412473389E-2</v>
      </c>
      <c r="I132" s="18">
        <v>7.8272237172188506</v>
      </c>
      <c r="J132" s="18">
        <v>8.2102712491985059</v>
      </c>
      <c r="K132" s="18">
        <v>0.52076573045343022</v>
      </c>
      <c r="L132" s="18">
        <v>6.9897075373437643</v>
      </c>
      <c r="M132" s="18">
        <v>9.0477874290735905</v>
      </c>
    </row>
    <row r="133" spans="2:13" x14ac:dyDescent="0.15">
      <c r="B133" s="9" t="s">
        <v>252</v>
      </c>
      <c r="C133" s="15">
        <v>1</v>
      </c>
      <c r="D133" s="18">
        <v>7.8220440081856193</v>
      </c>
      <c r="E133" s="18">
        <v>8.0636087659970705</v>
      </c>
      <c r="F133" s="18">
        <v>-0.24156475781145126</v>
      </c>
      <c r="G133" s="18">
        <v>-0.47211367632225854</v>
      </c>
      <c r="H133" s="18">
        <v>7.8951961473884114E-2</v>
      </c>
      <c r="I133" s="18">
        <v>7.9075986497202662</v>
      </c>
      <c r="J133" s="18">
        <v>8.219618882273874</v>
      </c>
      <c r="K133" s="18">
        <v>0.51772196326432796</v>
      </c>
      <c r="L133" s="18">
        <v>7.0405833442076409</v>
      </c>
      <c r="M133" s="18">
        <v>9.0866341877864993</v>
      </c>
    </row>
    <row r="134" spans="2:13" x14ac:dyDescent="0.15">
      <c r="B134" s="9" t="s">
        <v>253</v>
      </c>
      <c r="C134" s="15">
        <v>1</v>
      </c>
      <c r="D134" s="18">
        <v>7.4552984856832909</v>
      </c>
      <c r="E134" s="18">
        <v>7.7969869612641176</v>
      </c>
      <c r="F134" s="18">
        <v>-0.34168847558082671</v>
      </c>
      <c r="G134" s="18">
        <v>-0.66779526875076833</v>
      </c>
      <c r="H134" s="18">
        <v>8.250966217826021E-2</v>
      </c>
      <c r="I134" s="18">
        <v>7.6339467815131918</v>
      </c>
      <c r="J134" s="18">
        <v>7.9600271410150434</v>
      </c>
      <c r="K134" s="18">
        <v>0.51827643529150258</v>
      </c>
      <c r="L134" s="18">
        <v>6.7728658954423313</v>
      </c>
      <c r="M134" s="18">
        <v>8.8211080270859039</v>
      </c>
    </row>
    <row r="135" spans="2:13" x14ac:dyDescent="0.15">
      <c r="B135" s="9" t="s">
        <v>254</v>
      </c>
      <c r="C135" s="15">
        <v>1</v>
      </c>
      <c r="D135" s="18">
        <v>7.581719640125308</v>
      </c>
      <c r="E135" s="18">
        <v>7.9341788926876378</v>
      </c>
      <c r="F135" s="18">
        <v>-0.35245925256232979</v>
      </c>
      <c r="G135" s="18">
        <v>-0.68884565359851835</v>
      </c>
      <c r="H135" s="18">
        <v>9.0418888454445401E-2</v>
      </c>
      <c r="I135" s="18">
        <v>7.7555099775896448</v>
      </c>
      <c r="J135" s="18">
        <v>8.1128478077856307</v>
      </c>
      <c r="K135" s="18">
        <v>0.51959425941308657</v>
      </c>
      <c r="L135" s="18">
        <v>6.9074537890357242</v>
      </c>
      <c r="M135" s="18">
        <v>8.9609039963395514</v>
      </c>
    </row>
    <row r="136" spans="2:13" x14ac:dyDescent="0.15">
      <c r="B136" s="9" t="s">
        <v>255</v>
      </c>
      <c r="C136" s="15">
        <v>1</v>
      </c>
      <c r="D136" s="18">
        <v>7.333676395657684</v>
      </c>
      <c r="E136" s="18">
        <v>8.097865610410512</v>
      </c>
      <c r="F136" s="18">
        <v>-0.76418921475282797</v>
      </c>
      <c r="G136" s="18">
        <v>-1.4935298627640905</v>
      </c>
      <c r="H136" s="18">
        <v>5.3030852177355675E-2</v>
      </c>
      <c r="I136" s="18">
        <v>7.9930759476839697</v>
      </c>
      <c r="J136" s="18">
        <v>8.2026552731370543</v>
      </c>
      <c r="K136" s="18">
        <v>0.51440731945448925</v>
      </c>
      <c r="L136" s="18">
        <v>7.0813899684686694</v>
      </c>
      <c r="M136" s="18">
        <v>9.1143412523523537</v>
      </c>
    </row>
    <row r="137" spans="2:13" x14ac:dyDescent="0.15">
      <c r="B137" s="9" t="s">
        <v>256</v>
      </c>
      <c r="C137" s="15">
        <v>1</v>
      </c>
      <c r="D137" s="18">
        <v>8.7588836800170249</v>
      </c>
      <c r="E137" s="18">
        <v>8.3998925090524725</v>
      </c>
      <c r="F137" s="18">
        <v>0.35899117096455235</v>
      </c>
      <c r="G137" s="18">
        <v>0.70161162177305358</v>
      </c>
      <c r="H137" s="18">
        <v>0.13488523611840922</v>
      </c>
      <c r="I137" s="18">
        <v>8.1333575050067779</v>
      </c>
      <c r="J137" s="18">
        <v>8.6664275130981672</v>
      </c>
      <c r="K137" s="18">
        <v>0.529147092922578</v>
      </c>
      <c r="L137" s="18">
        <v>7.3542908805015337</v>
      </c>
      <c r="M137" s="18">
        <v>9.4454941376034114</v>
      </c>
    </row>
    <row r="138" spans="2:13" x14ac:dyDescent="0.15">
      <c r="B138" s="9" t="s">
        <v>257</v>
      </c>
      <c r="C138" s="15">
        <v>1</v>
      </c>
      <c r="D138" s="18">
        <v>9.6373060115303488</v>
      </c>
      <c r="E138" s="18">
        <v>8.9186333066255123</v>
      </c>
      <c r="F138" s="18">
        <v>0.71867270490483648</v>
      </c>
      <c r="G138" s="18">
        <v>1.4045724875559635</v>
      </c>
      <c r="H138" s="18">
        <v>9.4556239933676747E-2</v>
      </c>
      <c r="I138" s="18">
        <v>8.7317889304838268</v>
      </c>
      <c r="J138" s="18">
        <v>9.1054776827671979</v>
      </c>
      <c r="K138" s="18">
        <v>0.52033018510950479</v>
      </c>
      <c r="L138" s="18">
        <v>7.8904540040996771</v>
      </c>
      <c r="M138" s="18">
        <v>9.9468126091513476</v>
      </c>
    </row>
    <row r="139" spans="2:13" x14ac:dyDescent="0.15">
      <c r="B139" s="9" t="s">
        <v>258</v>
      </c>
      <c r="C139" s="15">
        <v>1</v>
      </c>
      <c r="D139" s="18">
        <v>9.3250074469543094</v>
      </c>
      <c r="E139" s="18">
        <v>8.928905244473599</v>
      </c>
      <c r="F139" s="18">
        <v>0.39610220248071037</v>
      </c>
      <c r="G139" s="18">
        <v>0.77414134705226822</v>
      </c>
      <c r="H139" s="18">
        <v>8.2551023745347826E-2</v>
      </c>
      <c r="I139" s="18">
        <v>8.7657833337210587</v>
      </c>
      <c r="J139" s="18">
        <v>9.0920271552261394</v>
      </c>
      <c r="K139" s="18">
        <v>0.51828302166586682</v>
      </c>
      <c r="L139" s="18">
        <v>7.9047711638892757</v>
      </c>
      <c r="M139" s="18">
        <v>9.9530393250579223</v>
      </c>
    </row>
    <row r="140" spans="2:13" x14ac:dyDescent="0.15">
      <c r="B140" s="9" t="s">
        <v>259</v>
      </c>
      <c r="C140" s="15">
        <v>1</v>
      </c>
      <c r="D140" s="18">
        <v>7.3185395485679017</v>
      </c>
      <c r="E140" s="18">
        <v>7.7871343490185643</v>
      </c>
      <c r="F140" s="18">
        <v>-0.4685948004506626</v>
      </c>
      <c r="G140" s="18">
        <v>-0.91582073457476065</v>
      </c>
      <c r="H140" s="18">
        <v>8.4099895179013964E-2</v>
      </c>
      <c r="I140" s="18">
        <v>7.6209518479025533</v>
      </c>
      <c r="J140" s="18">
        <v>7.9533168501345752</v>
      </c>
      <c r="K140" s="18">
        <v>0.51853197721530886</v>
      </c>
      <c r="L140" s="18">
        <v>6.7625083289878845</v>
      </c>
      <c r="M140" s="18">
        <v>8.8117603690492441</v>
      </c>
    </row>
    <row r="141" spans="2:13" x14ac:dyDescent="0.15">
      <c r="B141" s="9" t="s">
        <v>260</v>
      </c>
      <c r="C141" s="15">
        <v>1</v>
      </c>
      <c r="D141" s="18">
        <v>7.5989004568714096</v>
      </c>
      <c r="E141" s="18">
        <v>8.1495739379105281</v>
      </c>
      <c r="F141" s="18">
        <v>-0.55067348103911851</v>
      </c>
      <c r="G141" s="18">
        <v>-1.0762351426671126</v>
      </c>
      <c r="H141" s="18">
        <v>7.5869171710570366E-2</v>
      </c>
      <c r="I141" s="18">
        <v>7.9996554548300773</v>
      </c>
      <c r="J141" s="18">
        <v>8.2994924209909797</v>
      </c>
      <c r="K141" s="18">
        <v>0.51726081452372208</v>
      </c>
      <c r="L141" s="18">
        <v>7.1274597521094103</v>
      </c>
      <c r="M141" s="18">
        <v>9.171688123711645</v>
      </c>
    </row>
    <row r="142" spans="2:13" x14ac:dyDescent="0.15">
      <c r="B142" s="9" t="s">
        <v>261</v>
      </c>
      <c r="C142" s="15">
        <v>1</v>
      </c>
      <c r="D142" s="18">
        <v>7.5032896306750816</v>
      </c>
      <c r="E142" s="18">
        <v>8.0580048918846305</v>
      </c>
      <c r="F142" s="18">
        <v>-0.55471526120954895</v>
      </c>
      <c r="G142" s="18">
        <v>-1.0841343896948505</v>
      </c>
      <c r="H142" s="18">
        <v>7.3308140884829329E-2</v>
      </c>
      <c r="I142" s="18">
        <v>7.9131470394643122</v>
      </c>
      <c r="J142" s="18">
        <v>8.202862744304948</v>
      </c>
      <c r="K142" s="18">
        <v>0.51689138370230781</v>
      </c>
      <c r="L142" s="18">
        <v>7.0366207062548725</v>
      </c>
      <c r="M142" s="18">
        <v>9.0793890775143886</v>
      </c>
    </row>
    <row r="143" spans="2:13" x14ac:dyDescent="0.15">
      <c r="B143" s="9" t="s">
        <v>262</v>
      </c>
      <c r="C143" s="15">
        <v>1</v>
      </c>
      <c r="D143" s="18">
        <v>7.5989004568714096</v>
      </c>
      <c r="E143" s="18">
        <v>8.0895991383564461</v>
      </c>
      <c r="F143" s="18">
        <v>-0.49069868148503648</v>
      </c>
      <c r="G143" s="18">
        <v>-0.95902051516640374</v>
      </c>
      <c r="H143" s="18">
        <v>7.5571176406613455E-2</v>
      </c>
      <c r="I143" s="18">
        <v>7.940269497923504</v>
      </c>
      <c r="J143" s="18">
        <v>8.2389287787893881</v>
      </c>
      <c r="K143" s="18">
        <v>0.51721719009442835</v>
      </c>
      <c r="L143" s="18">
        <v>7.067571155002482</v>
      </c>
      <c r="M143" s="18">
        <v>9.1116271217104092</v>
      </c>
    </row>
    <row r="144" spans="2:13" x14ac:dyDescent="0.15">
      <c r="B144" s="9" t="s">
        <v>263</v>
      </c>
      <c r="C144" s="15">
        <v>1</v>
      </c>
      <c r="D144" s="18">
        <v>7.6916568228105469</v>
      </c>
      <c r="E144" s="18">
        <v>8.0776784014562146</v>
      </c>
      <c r="F144" s="18">
        <v>-0.38602157864566777</v>
      </c>
      <c r="G144" s="18">
        <v>-0.75443979612446921</v>
      </c>
      <c r="H144" s="18">
        <v>8.9732873873911753E-2</v>
      </c>
      <c r="I144" s="18">
        <v>7.9003650602094435</v>
      </c>
      <c r="J144" s="18">
        <v>8.2549917427029857</v>
      </c>
      <c r="K144" s="18">
        <v>0.51947531960562654</v>
      </c>
      <c r="L144" s="18">
        <v>7.0511883244311946</v>
      </c>
      <c r="M144" s="18">
        <v>9.1041684784812347</v>
      </c>
    </row>
    <row r="145" spans="2:13" x14ac:dyDescent="0.15">
      <c r="B145" s="9" t="s">
        <v>264</v>
      </c>
      <c r="C145" s="15">
        <v>1</v>
      </c>
      <c r="D145" s="18">
        <v>7.5933741931212904</v>
      </c>
      <c r="E145" s="18">
        <v>7.8978360553714255</v>
      </c>
      <c r="F145" s="18">
        <v>-0.30446186225013516</v>
      </c>
      <c r="G145" s="18">
        <v>-0.59503965060593134</v>
      </c>
      <c r="H145" s="18">
        <v>9.5374889933174126E-2</v>
      </c>
      <c r="I145" s="18">
        <v>7.7093740160428172</v>
      </c>
      <c r="J145" s="18">
        <v>8.0862980947000338</v>
      </c>
      <c r="K145" s="18">
        <v>0.5204795756371825</v>
      </c>
      <c r="L145" s="18">
        <v>6.8693615551942768</v>
      </c>
      <c r="M145" s="18">
        <v>8.9263105555485751</v>
      </c>
    </row>
    <row r="146" spans="2:13" x14ac:dyDescent="0.15">
      <c r="B146" s="9" t="s">
        <v>265</v>
      </c>
      <c r="C146" s="15">
        <v>1</v>
      </c>
      <c r="D146" s="18">
        <v>7.4972072232033176</v>
      </c>
      <c r="E146" s="18">
        <v>7.9362040516472918</v>
      </c>
      <c r="F146" s="18">
        <v>-0.43899682844397425</v>
      </c>
      <c r="G146" s="18">
        <v>-0.85797451767474509</v>
      </c>
      <c r="H146" s="18">
        <v>0.11153495405028642</v>
      </c>
      <c r="I146" s="18">
        <v>7.715809512670968</v>
      </c>
      <c r="J146" s="18">
        <v>8.1565985906236165</v>
      </c>
      <c r="K146" s="18">
        <v>0.52368183566044746</v>
      </c>
      <c r="L146" s="18">
        <v>6.9014018434657842</v>
      </c>
      <c r="M146" s="18">
        <v>8.9710062598287994</v>
      </c>
    </row>
    <row r="147" spans="2:13" x14ac:dyDescent="0.15">
      <c r="B147" s="9" t="s">
        <v>266</v>
      </c>
      <c r="C147" s="15">
        <v>1</v>
      </c>
      <c r="D147" s="18">
        <v>8.5697856415354074</v>
      </c>
      <c r="E147" s="18">
        <v>8.865679638476383</v>
      </c>
      <c r="F147" s="18">
        <v>-0.29589399694097551</v>
      </c>
      <c r="G147" s="18">
        <v>-0.57829463189546793</v>
      </c>
      <c r="H147" s="18">
        <v>0.10667067167176815</v>
      </c>
      <c r="I147" s="18">
        <v>8.6548969855800131</v>
      </c>
      <c r="J147" s="18">
        <v>9.0764622913727528</v>
      </c>
      <c r="K147" s="18">
        <v>0.52266743845451347</v>
      </c>
      <c r="L147" s="18">
        <v>7.832881892541212</v>
      </c>
      <c r="M147" s="18">
        <v>9.8984773844115548</v>
      </c>
    </row>
    <row r="148" spans="2:13" x14ac:dyDescent="0.15">
      <c r="B148" s="9" t="s">
        <v>267</v>
      </c>
      <c r="C148" s="15">
        <v>1</v>
      </c>
      <c r="D148" s="18">
        <v>7.6019019598751658</v>
      </c>
      <c r="E148" s="18">
        <v>8.1459003027492347</v>
      </c>
      <c r="F148" s="18">
        <v>-0.5439983428740689</v>
      </c>
      <c r="G148" s="18">
        <v>-1.0631892660764537</v>
      </c>
      <c r="H148" s="18">
        <v>0.10465109586434566</v>
      </c>
      <c r="I148" s="18">
        <v>7.9391083582616728</v>
      </c>
      <c r="J148" s="18">
        <v>8.3526922472367957</v>
      </c>
      <c r="K148" s="18">
        <v>0.52225900747742493</v>
      </c>
      <c r="L148" s="18">
        <v>7.1139096218069673</v>
      </c>
      <c r="M148" s="18">
        <v>9.177890983691503</v>
      </c>
    </row>
    <row r="149" spans="2:13" x14ac:dyDescent="0.15">
      <c r="B149" s="9" t="s">
        <v>268</v>
      </c>
      <c r="C149" s="15">
        <v>1</v>
      </c>
      <c r="D149" s="18">
        <v>7.642524134232902</v>
      </c>
      <c r="E149" s="18">
        <v>7.9983350753834053</v>
      </c>
      <c r="F149" s="18">
        <v>-0.35581094115050327</v>
      </c>
      <c r="G149" s="18">
        <v>-0.69539618702726058</v>
      </c>
      <c r="H149" s="18">
        <v>7.4424830848573112E-2</v>
      </c>
      <c r="I149" s="18">
        <v>7.8512706288793357</v>
      </c>
      <c r="J149" s="18">
        <v>8.1453995218874748</v>
      </c>
      <c r="K149" s="18">
        <v>0.51705093992036721</v>
      </c>
      <c r="L149" s="18">
        <v>6.9766356045641791</v>
      </c>
      <c r="M149" s="18">
        <v>9.0200345462026306</v>
      </c>
    </row>
    <row r="150" spans="2:13" x14ac:dyDescent="0.15">
      <c r="B150" s="9" t="s">
        <v>269</v>
      </c>
      <c r="C150" s="15">
        <v>1</v>
      </c>
      <c r="D150" s="18">
        <v>9.1787465003850048</v>
      </c>
      <c r="E150" s="18">
        <v>8.3568679259773724</v>
      </c>
      <c r="F150" s="18">
        <v>0.82187857440763246</v>
      </c>
      <c r="G150" s="18">
        <v>1.6062778311269474</v>
      </c>
      <c r="H150" s="18">
        <v>8.7194980449717116E-2</v>
      </c>
      <c r="I150" s="18">
        <v>8.18456949558038</v>
      </c>
      <c r="J150" s="18">
        <v>8.5291663563743647</v>
      </c>
      <c r="K150" s="18">
        <v>0.51904294970775111</v>
      </c>
      <c r="L150" s="18">
        <v>7.3312322175681901</v>
      </c>
      <c r="M150" s="18">
        <v>9.3825036343865555</v>
      </c>
    </row>
    <row r="151" spans="2:13" x14ac:dyDescent="0.15">
      <c r="B151" s="9" t="s">
        <v>270</v>
      </c>
      <c r="C151" s="15">
        <v>1</v>
      </c>
      <c r="D151" s="18">
        <v>10.072132678513839</v>
      </c>
      <c r="E151" s="18">
        <v>10.14446157122689</v>
      </c>
      <c r="F151" s="18">
        <v>-7.2328892713050763E-2</v>
      </c>
      <c r="G151" s="18">
        <v>-0.14135944229799347</v>
      </c>
      <c r="H151" s="18">
        <v>0.16761029713465933</v>
      </c>
      <c r="I151" s="18">
        <v>9.813261415372402</v>
      </c>
      <c r="J151" s="18">
        <v>10.475661727081377</v>
      </c>
      <c r="K151" s="18">
        <v>0.53841975328851488</v>
      </c>
      <c r="L151" s="18">
        <v>9.0805370436006232</v>
      </c>
      <c r="M151" s="18">
        <v>11.208386098853156</v>
      </c>
    </row>
    <row r="152" spans="2:13" x14ac:dyDescent="0.15">
      <c r="B152" s="9" t="s">
        <v>271</v>
      </c>
      <c r="C152" s="15">
        <v>1</v>
      </c>
      <c r="D152" s="18">
        <v>9.9605292929033258</v>
      </c>
      <c r="E152" s="18">
        <v>10.671038861996047</v>
      </c>
      <c r="F152" s="18">
        <v>-0.71050956909272145</v>
      </c>
      <c r="G152" s="18">
        <v>-1.3886184713596788</v>
      </c>
      <c r="H152" s="18">
        <v>0.19676174879624234</v>
      </c>
      <c r="I152" s="18">
        <v>10.282235053509503</v>
      </c>
      <c r="J152" s="18">
        <v>11.059842670482592</v>
      </c>
      <c r="K152" s="18">
        <v>0.54819504267646568</v>
      </c>
      <c r="L152" s="18">
        <v>9.5877982337234648</v>
      </c>
      <c r="M152" s="18">
        <v>11.75427949026863</v>
      </c>
    </row>
    <row r="153" spans="2:13" x14ac:dyDescent="0.15">
      <c r="B153" s="9" t="s">
        <v>272</v>
      </c>
      <c r="C153" s="15">
        <v>1</v>
      </c>
      <c r="D153" s="18">
        <v>8.3289340419555291</v>
      </c>
      <c r="E153" s="18">
        <v>7.8502463815710621</v>
      </c>
      <c r="F153" s="18">
        <v>0.47868766038446697</v>
      </c>
      <c r="G153" s="18">
        <v>0.93554619970934461</v>
      </c>
      <c r="H153" s="18">
        <v>0.12875157855645117</v>
      </c>
      <c r="I153" s="18">
        <v>7.5958315656952298</v>
      </c>
      <c r="J153" s="18">
        <v>8.1046611974468945</v>
      </c>
      <c r="K153" s="18">
        <v>0.52761689511090759</v>
      </c>
      <c r="L153" s="18">
        <v>6.8076684440604547</v>
      </c>
      <c r="M153" s="18">
        <v>8.8928243190816687</v>
      </c>
    </row>
    <row r="154" spans="2:13" x14ac:dyDescent="0.15">
      <c r="B154" s="9" t="s">
        <v>273</v>
      </c>
      <c r="C154" s="15">
        <v>1</v>
      </c>
      <c r="D154" s="18">
        <v>7.9979993179797297</v>
      </c>
      <c r="E154" s="18">
        <v>8.0836955999530851</v>
      </c>
      <c r="F154" s="18">
        <v>-8.5696281973355326E-2</v>
      </c>
      <c r="G154" s="18">
        <v>-0.16748464095565088</v>
      </c>
      <c r="H154" s="18">
        <v>7.7405352454851695E-2</v>
      </c>
      <c r="I154" s="18">
        <v>7.930741603478622</v>
      </c>
      <c r="J154" s="18">
        <v>8.2366495964275472</v>
      </c>
      <c r="K154" s="18">
        <v>0.51748836471398685</v>
      </c>
      <c r="L154" s="18">
        <v>7.0611317719774185</v>
      </c>
      <c r="M154" s="18">
        <v>9.1062594279287516</v>
      </c>
    </row>
    <row r="155" spans="2:13" x14ac:dyDescent="0.15">
      <c r="B155" s="9" t="s">
        <v>274</v>
      </c>
      <c r="C155" s="15">
        <v>1</v>
      </c>
      <c r="D155" s="18">
        <v>8.1382726385301858</v>
      </c>
      <c r="E155" s="18">
        <v>8.3688226138563504</v>
      </c>
      <c r="F155" s="18">
        <v>-0.23054997532616461</v>
      </c>
      <c r="G155" s="18">
        <v>-0.45058640760917229</v>
      </c>
      <c r="H155" s="18">
        <v>7.0993700488599792E-2</v>
      </c>
      <c r="I155" s="18">
        <v>8.2285381261579573</v>
      </c>
      <c r="J155" s="18">
        <v>8.5091071015547435</v>
      </c>
      <c r="K155" s="18">
        <v>0.51656821866502922</v>
      </c>
      <c r="L155" s="18">
        <v>7.3480770065988228</v>
      </c>
      <c r="M155" s="18">
        <v>9.389568221113878</v>
      </c>
    </row>
    <row r="156" spans="2:13" x14ac:dyDescent="0.15">
      <c r="B156" s="9" t="s">
        <v>275</v>
      </c>
      <c r="C156" s="15">
        <v>1</v>
      </c>
      <c r="D156" s="18">
        <v>8.2769034812670572</v>
      </c>
      <c r="E156" s="18">
        <v>8.3428964010698525</v>
      </c>
      <c r="F156" s="18">
        <v>-6.5992919802795313E-2</v>
      </c>
      <c r="G156" s="18">
        <v>-0.12897642959845995</v>
      </c>
      <c r="H156" s="18">
        <v>7.8856893258467939E-2</v>
      </c>
      <c r="I156" s="18">
        <v>8.1870741408394903</v>
      </c>
      <c r="J156" s="18">
        <v>8.4987186613002148</v>
      </c>
      <c r="K156" s="18">
        <v>0.51770747400445538</v>
      </c>
      <c r="L156" s="18">
        <v>7.319899610248866</v>
      </c>
      <c r="M156" s="18">
        <v>9.365893191890839</v>
      </c>
    </row>
    <row r="157" spans="2:13" x14ac:dyDescent="0.15">
      <c r="B157" s="9" t="s">
        <v>276</v>
      </c>
      <c r="C157" s="15">
        <v>1</v>
      </c>
      <c r="D157" s="18">
        <v>8.0238799927348783</v>
      </c>
      <c r="E157" s="18">
        <v>8.2602793987303649</v>
      </c>
      <c r="F157" s="18">
        <v>-0.23639940599548659</v>
      </c>
      <c r="G157" s="18">
        <v>-0.46201852313258518</v>
      </c>
      <c r="H157" s="18">
        <v>7.458023803426421E-2</v>
      </c>
      <c r="I157" s="18">
        <v>8.1129078655794622</v>
      </c>
      <c r="J157" s="18">
        <v>8.4076509318812676</v>
      </c>
      <c r="K157" s="18">
        <v>0.51707333225659968</v>
      </c>
      <c r="L157" s="18">
        <v>7.2385356803596643</v>
      </c>
      <c r="M157" s="18">
        <v>9.2820231171010654</v>
      </c>
    </row>
    <row r="158" spans="2:13" x14ac:dyDescent="0.15">
      <c r="B158" s="9" t="s">
        <v>277</v>
      </c>
      <c r="C158" s="15">
        <v>1</v>
      </c>
      <c r="D158" s="18">
        <v>7.7016523626422257</v>
      </c>
      <c r="E158" s="18">
        <v>7.7719957119236174</v>
      </c>
      <c r="F158" s="18">
        <v>-7.0343349281391632E-2</v>
      </c>
      <c r="G158" s="18">
        <v>-0.13747890021267084</v>
      </c>
      <c r="H158" s="18">
        <v>0.1341212340147189</v>
      </c>
      <c r="I158" s="18">
        <v>7.5069703861025978</v>
      </c>
      <c r="J158" s="18">
        <v>8.0370210377446369</v>
      </c>
      <c r="K158" s="18">
        <v>0.52895285653763835</v>
      </c>
      <c r="L158" s="18">
        <v>6.7267778970289056</v>
      </c>
      <c r="M158" s="18">
        <v>8.8172135268183283</v>
      </c>
    </row>
    <row r="159" spans="2:13" x14ac:dyDescent="0.15">
      <c r="B159" s="9" t="s">
        <v>278</v>
      </c>
      <c r="C159" s="15">
        <v>1</v>
      </c>
      <c r="D159" s="18">
        <v>7.6328855053951328</v>
      </c>
      <c r="E159" s="18">
        <v>8.0890342590961168</v>
      </c>
      <c r="F159" s="18">
        <v>-0.45614875370098407</v>
      </c>
      <c r="G159" s="18">
        <v>-0.89149620586492384</v>
      </c>
      <c r="H159" s="18">
        <v>0.11187344357154984</v>
      </c>
      <c r="I159" s="18">
        <v>7.8679708603652667</v>
      </c>
      <c r="J159" s="18">
        <v>8.310097657826967</v>
      </c>
      <c r="K159" s="18">
        <v>0.52375403234939699</v>
      </c>
      <c r="L159" s="18">
        <v>7.0540893893058598</v>
      </c>
      <c r="M159" s="18">
        <v>9.1239791288863739</v>
      </c>
    </row>
    <row r="160" spans="2:13" x14ac:dyDescent="0.15">
      <c r="B160" s="9" t="s">
        <v>279</v>
      </c>
      <c r="C160" s="15">
        <v>1</v>
      </c>
      <c r="D160" s="18">
        <v>7.7630213090185176</v>
      </c>
      <c r="E160" s="18">
        <v>8.3332819191506982</v>
      </c>
      <c r="F160" s="18">
        <v>-0.57026061013218055</v>
      </c>
      <c r="G160" s="18">
        <v>-1.1145161883316546</v>
      </c>
      <c r="H160" s="18">
        <v>0.13713463649570773</v>
      </c>
      <c r="I160" s="18">
        <v>8.0623020703175623</v>
      </c>
      <c r="J160" s="18">
        <v>8.604261767983834</v>
      </c>
      <c r="K160" s="18">
        <v>0.52972495462504532</v>
      </c>
      <c r="L160" s="18">
        <v>7.2865384282608012</v>
      </c>
      <c r="M160" s="18">
        <v>9.3800254100405951</v>
      </c>
    </row>
    <row r="161" spans="2:13" x14ac:dyDescent="0.15">
      <c r="B161" s="9" t="s">
        <v>280</v>
      </c>
      <c r="C161" s="15">
        <v>1</v>
      </c>
      <c r="D161" s="18">
        <v>7.3434262291473669</v>
      </c>
      <c r="E161" s="18">
        <v>7.602877410471935</v>
      </c>
      <c r="F161" s="18">
        <v>-0.25945118132456813</v>
      </c>
      <c r="G161" s="18">
        <v>-0.50707086642540111</v>
      </c>
      <c r="H161" s="18">
        <v>0.14073111039706332</v>
      </c>
      <c r="I161" s="18">
        <v>7.3247908818165062</v>
      </c>
      <c r="J161" s="18">
        <v>7.8809639391273638</v>
      </c>
      <c r="K161" s="18">
        <v>0.53066737647917162</v>
      </c>
      <c r="L161" s="18">
        <v>6.5542716815793423</v>
      </c>
      <c r="M161" s="18">
        <v>8.6514831393645277</v>
      </c>
    </row>
    <row r="162" spans="2:13" x14ac:dyDescent="0.15">
      <c r="B162" s="9" t="s">
        <v>281</v>
      </c>
      <c r="C162" s="15">
        <v>1</v>
      </c>
      <c r="D162" s="18">
        <v>7.7270944847798413</v>
      </c>
      <c r="E162" s="18">
        <v>8.1517249182815128</v>
      </c>
      <c r="F162" s="18">
        <v>-0.42463043350167151</v>
      </c>
      <c r="G162" s="18">
        <v>-0.82989686432349741</v>
      </c>
      <c r="H162" s="18">
        <v>0.1269393088845607</v>
      </c>
      <c r="I162" s="18">
        <v>7.9008911711588627</v>
      </c>
      <c r="J162" s="18">
        <v>8.4025586654041629</v>
      </c>
      <c r="K162" s="18">
        <v>0.52717758598577236</v>
      </c>
      <c r="L162" s="18">
        <v>7.1100150613912518</v>
      </c>
      <c r="M162" s="18">
        <v>9.1934347751717738</v>
      </c>
    </row>
    <row r="163" spans="2:13" x14ac:dyDescent="0.15">
      <c r="B163" s="9" t="s">
        <v>282</v>
      </c>
      <c r="C163" s="15">
        <v>1</v>
      </c>
      <c r="D163" s="18">
        <v>7.8931988695446087</v>
      </c>
      <c r="E163" s="18">
        <v>8.5216721069395707</v>
      </c>
      <c r="F163" s="18">
        <v>-0.62847323739496197</v>
      </c>
      <c r="G163" s="18">
        <v>-1.2282868298540426</v>
      </c>
      <c r="H163" s="18">
        <v>7.5045273129127121E-2</v>
      </c>
      <c r="I163" s="18">
        <v>8.3733816583131304</v>
      </c>
      <c r="J163" s="18">
        <v>8.6699625555660109</v>
      </c>
      <c r="K163" s="18">
        <v>0.51714061148272017</v>
      </c>
      <c r="L163" s="18">
        <v>7.4997954439314709</v>
      </c>
      <c r="M163" s="18">
        <v>9.5435487699476695</v>
      </c>
    </row>
    <row r="164" spans="2:13" x14ac:dyDescent="0.15">
      <c r="B164" s="9" t="s">
        <v>283</v>
      </c>
      <c r="C164" s="15">
        <v>1</v>
      </c>
      <c r="D164" s="18">
        <v>7.8180279385307294</v>
      </c>
      <c r="E164" s="18">
        <v>8.2725754587116729</v>
      </c>
      <c r="F164" s="18">
        <v>-0.45454752018094347</v>
      </c>
      <c r="G164" s="18">
        <v>-0.88836675829713396</v>
      </c>
      <c r="H164" s="18">
        <v>0.20206188495362559</v>
      </c>
      <c r="I164" s="18">
        <v>7.8732985113345926</v>
      </c>
      <c r="J164" s="18">
        <v>8.6718524060887532</v>
      </c>
      <c r="K164" s="18">
        <v>0.55011964551060044</v>
      </c>
      <c r="L164" s="18">
        <v>7.1855317898770217</v>
      </c>
      <c r="M164" s="18">
        <v>9.3596191275463241</v>
      </c>
    </row>
    <row r="165" spans="2:13" x14ac:dyDescent="0.15">
      <c r="B165" s="9" t="s">
        <v>284</v>
      </c>
      <c r="C165" s="15">
        <v>1</v>
      </c>
      <c r="D165" s="18">
        <v>8.2265734749771138</v>
      </c>
      <c r="E165" s="18">
        <v>8.3288717071157077</v>
      </c>
      <c r="F165" s="18">
        <v>-0.1022982321385939</v>
      </c>
      <c r="G165" s="18">
        <v>-0.19993145893374153</v>
      </c>
      <c r="H165" s="18">
        <v>9.8073486745632266E-2</v>
      </c>
      <c r="I165" s="18">
        <v>8.1350772049244124</v>
      </c>
      <c r="J165" s="18">
        <v>8.5226662093070029</v>
      </c>
      <c r="K165" s="18">
        <v>0.52098083249592031</v>
      </c>
      <c r="L165" s="18">
        <v>7.2994067167802861</v>
      </c>
      <c r="M165" s="18">
        <v>9.3583366974511293</v>
      </c>
    </row>
    <row r="166" spans="2:13" x14ac:dyDescent="0.15">
      <c r="B166" s="9" t="s">
        <v>285</v>
      </c>
      <c r="C166" s="15">
        <v>1</v>
      </c>
      <c r="D166" s="18">
        <v>9.5581057432849708</v>
      </c>
      <c r="E166" s="18">
        <v>9.2186511770991189</v>
      </c>
      <c r="F166" s="18">
        <v>0.3394545661858519</v>
      </c>
      <c r="G166" s="18">
        <v>0.66342932072677896</v>
      </c>
      <c r="H166" s="18">
        <v>0.11457169316768485</v>
      </c>
      <c r="I166" s="18">
        <v>8.9922560016096114</v>
      </c>
      <c r="J166" s="18">
        <v>9.4450463525886263</v>
      </c>
      <c r="K166" s="18">
        <v>0.52433700222376689</v>
      </c>
      <c r="L166" s="18">
        <v>8.182554351154911</v>
      </c>
      <c r="M166" s="18">
        <v>10.254748003043327</v>
      </c>
    </row>
    <row r="167" spans="2:13" x14ac:dyDescent="0.15">
      <c r="B167" s="9" t="s">
        <v>286</v>
      </c>
      <c r="C167" s="15">
        <v>1</v>
      </c>
      <c r="D167" s="18">
        <v>8.0339827346832209</v>
      </c>
      <c r="E167" s="18">
        <v>8.7016150735129152</v>
      </c>
      <c r="F167" s="18">
        <v>-0.66763233882969431</v>
      </c>
      <c r="G167" s="18">
        <v>-1.3048192988587217</v>
      </c>
      <c r="H167" s="18">
        <v>8.9755244885280749E-2</v>
      </c>
      <c r="I167" s="18">
        <v>8.52425752685288</v>
      </c>
      <c r="J167" s="18">
        <v>8.8789726201729504</v>
      </c>
      <c r="K167" s="18">
        <v>0.519479184385778</v>
      </c>
      <c r="L167" s="18">
        <v>7.6751173596313862</v>
      </c>
      <c r="M167" s="18">
        <v>9.7281127873944442</v>
      </c>
    </row>
    <row r="168" spans="2:13" x14ac:dyDescent="0.15">
      <c r="B168" s="9" t="s">
        <v>287</v>
      </c>
      <c r="C168" s="15">
        <v>1</v>
      </c>
      <c r="D168" s="18">
        <v>7.9648508874473132</v>
      </c>
      <c r="E168" s="18">
        <v>8.3723581135621981</v>
      </c>
      <c r="F168" s="18">
        <v>-0.40750722611488488</v>
      </c>
      <c r="G168" s="18">
        <v>-0.79643130228106496</v>
      </c>
      <c r="H168" s="18">
        <v>7.0362909437247087E-2</v>
      </c>
      <c r="I168" s="18">
        <v>8.2333200772936461</v>
      </c>
      <c r="J168" s="18">
        <v>8.51139614983075</v>
      </c>
      <c r="K168" s="18">
        <v>0.5164819048622814</v>
      </c>
      <c r="L168" s="18">
        <v>7.3517830635163168</v>
      </c>
      <c r="M168" s="18">
        <v>9.3929331636080793</v>
      </c>
    </row>
    <row r="169" spans="2:13" x14ac:dyDescent="0.15">
      <c r="B169" s="9" t="s">
        <v>288</v>
      </c>
      <c r="C169" s="15">
        <v>1</v>
      </c>
      <c r="D169" s="18">
        <v>7.8909567161389189</v>
      </c>
      <c r="E169" s="18">
        <v>7.919900608015114</v>
      </c>
      <c r="F169" s="18">
        <v>-2.894389187619506E-2</v>
      </c>
      <c r="G169" s="18">
        <v>-5.6567884009844707E-2</v>
      </c>
      <c r="H169" s="18">
        <v>9.8336483368036076E-2</v>
      </c>
      <c r="I169" s="18">
        <v>7.7255864210322613</v>
      </c>
      <c r="J169" s="18">
        <v>8.1142147949979666</v>
      </c>
      <c r="K169" s="18">
        <v>0.5210304050503084</v>
      </c>
      <c r="L169" s="18">
        <v>6.89033766165897</v>
      </c>
      <c r="M169" s="18">
        <v>8.949463554371258</v>
      </c>
    </row>
    <row r="170" spans="2:13" x14ac:dyDescent="0.15">
      <c r="B170" s="9" t="s">
        <v>289</v>
      </c>
      <c r="C170" s="15">
        <v>1</v>
      </c>
      <c r="D170" s="18">
        <v>7.8087293067443992</v>
      </c>
      <c r="E170" s="18">
        <v>7.8915846434255785</v>
      </c>
      <c r="F170" s="18">
        <v>-8.2855336681179281E-2</v>
      </c>
      <c r="G170" s="18">
        <v>-0.16193230319632204</v>
      </c>
      <c r="H170" s="18">
        <v>0.10315899986464618</v>
      </c>
      <c r="I170" s="18">
        <v>7.6877411002958009</v>
      </c>
      <c r="J170" s="18">
        <v>8.0954281865553561</v>
      </c>
      <c r="K170" s="18">
        <v>0.52196206593848427</v>
      </c>
      <c r="L170" s="18">
        <v>6.8601807228772609</v>
      </c>
      <c r="M170" s="18">
        <v>8.9229885639738953</v>
      </c>
    </row>
    <row r="171" spans="2:13" x14ac:dyDescent="0.15">
      <c r="B171" s="9" t="s">
        <v>290</v>
      </c>
      <c r="C171" s="15">
        <v>1</v>
      </c>
      <c r="D171" s="18">
        <v>8.738895704934043</v>
      </c>
      <c r="E171" s="18">
        <v>8.9269775883003142</v>
      </c>
      <c r="F171" s="18">
        <v>-0.18808188336627119</v>
      </c>
      <c r="G171" s="18">
        <v>-0.36758685418413795</v>
      </c>
      <c r="H171" s="18">
        <v>8.0955284225061486E-2</v>
      </c>
      <c r="I171" s="18">
        <v>8.767008879868019</v>
      </c>
      <c r="J171" s="18">
        <v>9.0869462967326093</v>
      </c>
      <c r="K171" s="18">
        <v>0.51803125105504677</v>
      </c>
      <c r="L171" s="18">
        <v>7.9033410097607257</v>
      </c>
      <c r="M171" s="18">
        <v>9.9506141668399017</v>
      </c>
    </row>
    <row r="172" spans="2:13" x14ac:dyDescent="0.15">
      <c r="B172" s="9" t="s">
        <v>291</v>
      </c>
      <c r="C172" s="15">
        <v>1</v>
      </c>
      <c r="D172" s="18">
        <v>8.0375431851186967</v>
      </c>
      <c r="E172" s="18">
        <v>8.5492734993658619</v>
      </c>
      <c r="F172" s="18">
        <v>-0.5117303142471652</v>
      </c>
      <c r="G172" s="18">
        <v>-1.0001246958935377</v>
      </c>
      <c r="H172" s="18">
        <v>7.8821826821505458E-2</v>
      </c>
      <c r="I172" s="18">
        <v>8.3935205308770318</v>
      </c>
      <c r="J172" s="18">
        <v>8.705026467854692</v>
      </c>
      <c r="K172" s="18">
        <v>0.51770213386577402</v>
      </c>
      <c r="L172" s="18">
        <v>7.5262872607292808</v>
      </c>
      <c r="M172" s="18">
        <v>9.5722597380024439</v>
      </c>
    </row>
    <row r="173" spans="2:13" x14ac:dyDescent="0.15">
      <c r="B173" s="9" t="s">
        <v>292</v>
      </c>
      <c r="C173" s="15">
        <v>1</v>
      </c>
      <c r="D173" s="18">
        <v>9.3303431643708787</v>
      </c>
      <c r="E173" s="18">
        <v>8.8531325138742964</v>
      </c>
      <c r="F173" s="18">
        <v>0.47721065049658229</v>
      </c>
      <c r="G173" s="18">
        <v>0.93265953455813977</v>
      </c>
      <c r="H173" s="18">
        <v>0.13312537229573276</v>
      </c>
      <c r="I173" s="18">
        <v>8.5900750239331494</v>
      </c>
      <c r="J173" s="18">
        <v>9.1161900038154435</v>
      </c>
      <c r="K173" s="18">
        <v>0.52870122354177873</v>
      </c>
      <c r="L173" s="18">
        <v>7.8084119290953442</v>
      </c>
      <c r="M173" s="18">
        <v>9.8978530986532487</v>
      </c>
    </row>
    <row r="174" spans="2:13" x14ac:dyDescent="0.15">
      <c r="B174" s="9" t="s">
        <v>293</v>
      </c>
      <c r="C174" s="15">
        <v>1</v>
      </c>
      <c r="D174" s="18">
        <v>9.3139794067356689</v>
      </c>
      <c r="E174" s="18">
        <v>8.9688360632284692</v>
      </c>
      <c r="F174" s="18">
        <v>0.34514334350719977</v>
      </c>
      <c r="G174" s="18">
        <v>0.67454745567035601</v>
      </c>
      <c r="H174" s="18">
        <v>8.983633941996759E-2</v>
      </c>
      <c r="I174" s="18">
        <v>8.7913182726992538</v>
      </c>
      <c r="J174" s="18">
        <v>9.1463538537576845</v>
      </c>
      <c r="K174" s="18">
        <v>0.51949320198254378</v>
      </c>
      <c r="L174" s="18">
        <v>7.9423106503910121</v>
      </c>
      <c r="M174" s="18">
        <v>9.9953614760659271</v>
      </c>
    </row>
    <row r="175" spans="2:13" x14ac:dyDescent="0.15">
      <c r="B175" s="9" t="s">
        <v>294</v>
      </c>
      <c r="C175" s="15">
        <v>1</v>
      </c>
      <c r="D175" s="18">
        <v>9.0045454589965868</v>
      </c>
      <c r="E175" s="18">
        <v>8.8147156943443541</v>
      </c>
      <c r="F175" s="18">
        <v>0.18982976465223267</v>
      </c>
      <c r="G175" s="18">
        <v>0.37100290985039636</v>
      </c>
      <c r="H175" s="18">
        <v>8.8875064212691757E-2</v>
      </c>
      <c r="I175" s="18">
        <v>8.6390973962921027</v>
      </c>
      <c r="J175" s="18">
        <v>8.9903339923966055</v>
      </c>
      <c r="K175" s="18">
        <v>0.51932783101284541</v>
      </c>
      <c r="L175" s="18">
        <v>7.7885170567222275</v>
      </c>
      <c r="M175" s="18">
        <v>9.8409143319664807</v>
      </c>
    </row>
    <row r="176" spans="2:13" x14ac:dyDescent="0.15">
      <c r="B176" s="9" t="s">
        <v>295</v>
      </c>
      <c r="C176" s="15">
        <v>1</v>
      </c>
      <c r="D176" s="18">
        <v>7.6123368371677458</v>
      </c>
      <c r="E176" s="18">
        <v>7.8850776017575361</v>
      </c>
      <c r="F176" s="18">
        <v>-0.27274076458979035</v>
      </c>
      <c r="G176" s="18">
        <v>-0.53304400120291706</v>
      </c>
      <c r="H176" s="18">
        <v>0.10246213209848436</v>
      </c>
      <c r="I176" s="18">
        <v>7.6826110785168007</v>
      </c>
      <c r="J176" s="18">
        <v>8.0875441249982707</v>
      </c>
      <c r="K176" s="18">
        <v>0.52182478624521444</v>
      </c>
      <c r="L176" s="18">
        <v>6.853944947692149</v>
      </c>
      <c r="M176" s="18">
        <v>8.9162102558229233</v>
      </c>
    </row>
    <row r="177" spans="2:13" x14ac:dyDescent="0.15">
      <c r="B177" s="9" t="s">
        <v>296</v>
      </c>
      <c r="C177" s="15">
        <v>1</v>
      </c>
      <c r="D177" s="18">
        <v>7.5517122153513103</v>
      </c>
      <c r="E177" s="18">
        <v>7.5818261482176972</v>
      </c>
      <c r="F177" s="18">
        <v>-3.0113932866386861E-2</v>
      </c>
      <c r="G177" s="18">
        <v>-5.8854609765421791E-2</v>
      </c>
      <c r="H177" s="18">
        <v>8.3000300524212409E-2</v>
      </c>
      <c r="I177" s="18">
        <v>7.417816460629691</v>
      </c>
      <c r="J177" s="18">
        <v>7.7458358358057033</v>
      </c>
      <c r="K177" s="18">
        <v>0.51835477128392105</v>
      </c>
      <c r="L177" s="18">
        <v>6.5575502894426041</v>
      </c>
      <c r="M177" s="18">
        <v>8.6061020069927903</v>
      </c>
    </row>
    <row r="178" spans="2:13" x14ac:dyDescent="0.15">
      <c r="B178" s="9" t="s">
        <v>297</v>
      </c>
      <c r="C178" s="15">
        <v>1</v>
      </c>
      <c r="D178" s="18">
        <v>7.2041492920359396</v>
      </c>
      <c r="E178" s="18">
        <v>7.1241369973697228</v>
      </c>
      <c r="F178" s="18">
        <v>8.0012294666216732E-2</v>
      </c>
      <c r="G178" s="18">
        <v>0.15637586760620062</v>
      </c>
      <c r="H178" s="18">
        <v>0.18964233661427773</v>
      </c>
      <c r="I178" s="18">
        <v>6.7494012411721416</v>
      </c>
      <c r="J178" s="18">
        <v>7.4988727535673041</v>
      </c>
      <c r="K178" s="18">
        <v>0.54568015802502801</v>
      </c>
      <c r="L178" s="18">
        <v>6.0458658143087494</v>
      </c>
      <c r="M178" s="18">
        <v>8.2024081804306963</v>
      </c>
    </row>
    <row r="179" spans="2:13" x14ac:dyDescent="0.15">
      <c r="B179" s="9" t="s">
        <v>298</v>
      </c>
      <c r="C179" s="15">
        <v>1</v>
      </c>
      <c r="D179" s="18">
        <v>7.3238305662023171</v>
      </c>
      <c r="E179" s="18">
        <v>7.106479328804272</v>
      </c>
      <c r="F179" s="18">
        <v>0.21735123739804507</v>
      </c>
      <c r="G179" s="18">
        <v>0.42479082077559011</v>
      </c>
      <c r="H179" s="18">
        <v>0.11851219371192841</v>
      </c>
      <c r="I179" s="18">
        <v>6.8722976723126479</v>
      </c>
      <c r="J179" s="18">
        <v>7.3406609852958962</v>
      </c>
      <c r="K179" s="18">
        <v>0.52521210866097712</v>
      </c>
      <c r="L179" s="18">
        <v>6.0686532810082561</v>
      </c>
      <c r="M179" s="18">
        <v>8.144305376600288</v>
      </c>
    </row>
    <row r="180" spans="2:13" x14ac:dyDescent="0.15">
      <c r="B180" s="9" t="s">
        <v>299</v>
      </c>
      <c r="C180" s="15">
        <v>1</v>
      </c>
      <c r="D180" s="18">
        <v>7.2737863178448947</v>
      </c>
      <c r="E180" s="18">
        <v>7.7398153371502492</v>
      </c>
      <c r="F180" s="18">
        <v>-0.46602901930535445</v>
      </c>
      <c r="G180" s="18">
        <v>-0.91080617707008005</v>
      </c>
      <c r="H180" s="18">
        <v>0.1304844005606316</v>
      </c>
      <c r="I180" s="18">
        <v>7.4819764421595671</v>
      </c>
      <c r="J180" s="18">
        <v>7.9976542321409312</v>
      </c>
      <c r="K180" s="18">
        <v>0.52804242046957151</v>
      </c>
      <c r="L180" s="18">
        <v>6.6963965559234815</v>
      </c>
      <c r="M180" s="18">
        <v>8.7832341183770168</v>
      </c>
    </row>
    <row r="181" spans="2:13" x14ac:dyDescent="0.15">
      <c r="B181" s="9" t="s">
        <v>300</v>
      </c>
      <c r="C181" s="15">
        <v>1</v>
      </c>
      <c r="D181" s="18">
        <v>7.4139702901904441</v>
      </c>
      <c r="E181" s="18">
        <v>7.8487443861796322</v>
      </c>
      <c r="F181" s="18">
        <v>-0.43477409598918815</v>
      </c>
      <c r="G181" s="18">
        <v>-0.84972161786677536</v>
      </c>
      <c r="H181" s="18">
        <v>8.0410388137591327E-2</v>
      </c>
      <c r="I181" s="18">
        <v>7.6898523995966492</v>
      </c>
      <c r="J181" s="18">
        <v>8.0076363727626152</v>
      </c>
      <c r="K181" s="18">
        <v>0.51794637709528824</v>
      </c>
      <c r="L181" s="18">
        <v>6.82527551970297</v>
      </c>
      <c r="M181" s="18">
        <v>8.8722132526562945</v>
      </c>
    </row>
    <row r="182" spans="2:13" x14ac:dyDescent="0.15">
      <c r="B182" s="9" t="s">
        <v>301</v>
      </c>
      <c r="C182" s="15">
        <v>1</v>
      </c>
      <c r="D182" s="18">
        <v>8.453401058328458</v>
      </c>
      <c r="E182" s="18">
        <v>8.8558994054689357</v>
      </c>
      <c r="F182" s="18">
        <v>-0.40249834714047772</v>
      </c>
      <c r="G182" s="18">
        <v>-0.78664195929790348</v>
      </c>
      <c r="H182" s="18">
        <v>9.3461027551865875E-2</v>
      </c>
      <c r="I182" s="18">
        <v>8.6712191834260768</v>
      </c>
      <c r="J182" s="18">
        <v>9.0405796275117947</v>
      </c>
      <c r="K182" s="18">
        <v>0.52013227423103359</v>
      </c>
      <c r="L182" s="18">
        <v>7.8281111774469672</v>
      </c>
      <c r="M182" s="18">
        <v>9.8836876334909043</v>
      </c>
    </row>
    <row r="183" spans="2:13" x14ac:dyDescent="0.15">
      <c r="B183" s="9" t="s">
        <v>302</v>
      </c>
      <c r="C183" s="15">
        <v>1</v>
      </c>
      <c r="D183" s="18">
        <v>7.6226639513235952</v>
      </c>
      <c r="E183" s="18">
        <v>7.9498312500304413</v>
      </c>
      <c r="F183" s="18">
        <v>-0.32716729870684613</v>
      </c>
      <c r="G183" s="18">
        <v>-0.63941510990387318</v>
      </c>
      <c r="H183" s="18">
        <v>7.7554172834995883E-2</v>
      </c>
      <c r="I183" s="18">
        <v>7.7965831825237046</v>
      </c>
      <c r="J183" s="18">
        <v>8.103079317537178</v>
      </c>
      <c r="K183" s="18">
        <v>0.51751064602558361</v>
      </c>
      <c r="L183" s="18">
        <v>6.9272233938894434</v>
      </c>
      <c r="M183" s="18">
        <v>8.9724391061714392</v>
      </c>
    </row>
    <row r="184" spans="2:13" x14ac:dyDescent="0.15">
      <c r="B184" s="9" t="s">
        <v>303</v>
      </c>
      <c r="C184" s="15">
        <v>1</v>
      </c>
      <c r="D184" s="18">
        <v>7.1212524532445416</v>
      </c>
      <c r="E184" s="18">
        <v>7.5579759428491382</v>
      </c>
      <c r="F184" s="18">
        <v>-0.43672348960459662</v>
      </c>
      <c r="G184" s="18">
        <v>-0.85353150882399842</v>
      </c>
      <c r="H184" s="18">
        <v>0.16107998150991187</v>
      </c>
      <c r="I184" s="18">
        <v>7.2396797767236221</v>
      </c>
      <c r="J184" s="18">
        <v>7.8762721089746544</v>
      </c>
      <c r="K184" s="18">
        <v>0.53642276188555793</v>
      </c>
      <c r="L184" s="18">
        <v>6.4979974965508465</v>
      </c>
      <c r="M184" s="18">
        <v>8.6179543891474299</v>
      </c>
    </row>
    <row r="185" spans="2:13" x14ac:dyDescent="0.15">
      <c r="B185" s="9" t="s">
        <v>304</v>
      </c>
      <c r="C185" s="15">
        <v>1</v>
      </c>
      <c r="D185" s="18">
        <v>7.498315870766981</v>
      </c>
      <c r="E185" s="18">
        <v>7.9424574033795237</v>
      </c>
      <c r="F185" s="18">
        <v>-0.44414153261254263</v>
      </c>
      <c r="G185" s="18">
        <v>-0.86802931714391718</v>
      </c>
      <c r="H185" s="18">
        <v>0.10009739907601913</v>
      </c>
      <c r="I185" s="18">
        <v>7.7446636237528965</v>
      </c>
      <c r="J185" s="18">
        <v>8.1402511830061517</v>
      </c>
      <c r="K185" s="18">
        <v>0.5213656186664789</v>
      </c>
      <c r="L185" s="18">
        <v>6.9122320705004849</v>
      </c>
      <c r="M185" s="18">
        <v>8.9726827362585624</v>
      </c>
    </row>
    <row r="186" spans="2:13" x14ac:dyDescent="0.15">
      <c r="B186" s="9" t="s">
        <v>305</v>
      </c>
      <c r="C186" s="15">
        <v>1</v>
      </c>
      <c r="D186" s="18">
        <v>7.1899221707458079</v>
      </c>
      <c r="E186" s="18">
        <v>7.3457848097221472</v>
      </c>
      <c r="F186" s="18">
        <v>-0.15586263897633934</v>
      </c>
      <c r="G186" s="18">
        <v>-0.30461762781574198</v>
      </c>
      <c r="H186" s="18">
        <v>0.1015831057083437</v>
      </c>
      <c r="I186" s="18">
        <v>7.1450552542118659</v>
      </c>
      <c r="J186" s="18">
        <v>7.5465143652324285</v>
      </c>
      <c r="K186" s="18">
        <v>0.52165289838267836</v>
      </c>
      <c r="L186" s="18">
        <v>6.3149918083382159</v>
      </c>
      <c r="M186" s="18">
        <v>8.3765778111060776</v>
      </c>
    </row>
    <row r="187" spans="2:13" x14ac:dyDescent="0.15">
      <c r="B187" s="9" t="s">
        <v>306</v>
      </c>
      <c r="C187" s="15">
        <v>1</v>
      </c>
      <c r="D187" s="18">
        <v>7.5010821242598711</v>
      </c>
      <c r="E187" s="18">
        <v>7.0587851032003455</v>
      </c>
      <c r="F187" s="18">
        <v>0.44229702105952562</v>
      </c>
      <c r="G187" s="18">
        <v>0.86442440747827198</v>
      </c>
      <c r="H187" s="18">
        <v>0.1032835675814447</v>
      </c>
      <c r="I187" s="18">
        <v>6.854695412620659</v>
      </c>
      <c r="J187" s="18">
        <v>7.262874793780032</v>
      </c>
      <c r="K187" s="18">
        <v>0.52198669940722364</v>
      </c>
      <c r="L187" s="18">
        <v>6.0273325065931864</v>
      </c>
      <c r="M187" s="18">
        <v>8.0902376998075045</v>
      </c>
    </row>
    <row r="188" spans="2:13" x14ac:dyDescent="0.15">
      <c r="B188" s="9" t="s">
        <v>307</v>
      </c>
      <c r="C188" s="15">
        <v>1</v>
      </c>
      <c r="D188" s="18">
        <v>7.4815557019095165</v>
      </c>
      <c r="E188" s="18">
        <v>7.2687716238382141</v>
      </c>
      <c r="F188" s="18">
        <v>0.2127840780713024</v>
      </c>
      <c r="G188" s="18">
        <v>0.41586477378250608</v>
      </c>
      <c r="H188" s="18">
        <v>0.10402223421488166</v>
      </c>
      <c r="I188" s="18">
        <v>7.0632223182569369</v>
      </c>
      <c r="J188" s="18">
        <v>7.4743209294194912</v>
      </c>
      <c r="K188" s="18">
        <v>0.52213335867070609</v>
      </c>
      <c r="L188" s="18">
        <v>6.2370292265937834</v>
      </c>
      <c r="M188" s="18">
        <v>8.3005140210826447</v>
      </c>
    </row>
    <row r="189" spans="2:13" x14ac:dyDescent="0.15">
      <c r="B189" s="9" t="s">
        <v>308</v>
      </c>
      <c r="C189" s="15">
        <v>1</v>
      </c>
      <c r="D189" s="18">
        <v>9.2719057276343371</v>
      </c>
      <c r="E189" s="18">
        <v>7.846539051136789</v>
      </c>
      <c r="F189" s="18">
        <v>1.4253666764975481</v>
      </c>
      <c r="G189" s="18">
        <v>2.785733762843599</v>
      </c>
      <c r="H189" s="18">
        <v>0.13488848130825637</v>
      </c>
      <c r="I189" s="18">
        <v>7.5799976345531928</v>
      </c>
      <c r="J189" s="18">
        <v>8.1130804677203852</v>
      </c>
      <c r="K189" s="18">
        <v>0.52914792016537704</v>
      </c>
      <c r="L189" s="18">
        <v>6.8009357879431782</v>
      </c>
      <c r="M189" s="18">
        <v>8.8921423143303997</v>
      </c>
    </row>
    <row r="190" spans="2:13" x14ac:dyDescent="0.15">
      <c r="B190" s="9" t="s">
        <v>309</v>
      </c>
      <c r="C190" s="15">
        <v>1</v>
      </c>
      <c r="D190" s="18">
        <v>10.179223553969509</v>
      </c>
      <c r="E190" s="18">
        <v>7.9816402936608419</v>
      </c>
      <c r="F190" s="18">
        <v>2.1975832603086669</v>
      </c>
      <c r="G190" s="18">
        <v>4.2949522995336409</v>
      </c>
      <c r="H190" s="18">
        <v>0.10068076594142403</v>
      </c>
      <c r="I190" s="18">
        <v>7.7826937734207471</v>
      </c>
      <c r="J190" s="18">
        <v>8.1805868139009359</v>
      </c>
      <c r="K190" s="18">
        <v>0.52147793400703757</v>
      </c>
      <c r="L190" s="18">
        <v>6.9511930241888029</v>
      </c>
      <c r="M190" s="18">
        <v>9.0120875631328801</v>
      </c>
    </row>
    <row r="191" spans="2:13" x14ac:dyDescent="0.15">
      <c r="B191" s="9" t="s">
        <v>310</v>
      </c>
      <c r="C191" s="15">
        <v>1</v>
      </c>
      <c r="D191" s="18">
        <v>9.9360515434093912</v>
      </c>
      <c r="E191" s="18">
        <v>8.0820343455305181</v>
      </c>
      <c r="F191" s="18">
        <v>1.8540171978788731</v>
      </c>
      <c r="G191" s="18">
        <v>3.623487478825413</v>
      </c>
      <c r="H191" s="18">
        <v>9.8416618344279228E-2</v>
      </c>
      <c r="I191" s="18">
        <v>7.8875618107786147</v>
      </c>
      <c r="J191" s="18">
        <v>8.2765068802824207</v>
      </c>
      <c r="K191" s="18">
        <v>0.52104553523854324</v>
      </c>
      <c r="L191" s="18">
        <v>7.0524415017230409</v>
      </c>
      <c r="M191" s="18">
        <v>9.1116271893379963</v>
      </c>
    </row>
    <row r="192" spans="2:13" x14ac:dyDescent="0.15">
      <c r="B192" s="9" t="s">
        <v>311</v>
      </c>
      <c r="C192" s="15">
        <v>1</v>
      </c>
      <c r="D192" s="18">
        <v>7.7685333009260331</v>
      </c>
      <c r="E192" s="18">
        <v>7.4355834398426541</v>
      </c>
      <c r="F192" s="18">
        <v>0.33294986108337898</v>
      </c>
      <c r="G192" s="18">
        <v>0.65071653817048558</v>
      </c>
      <c r="H192" s="18">
        <v>0.1290552291555862</v>
      </c>
      <c r="I192" s="18">
        <v>7.1805686063815184</v>
      </c>
      <c r="J192" s="18">
        <v>7.6905982733037899</v>
      </c>
      <c r="K192" s="18">
        <v>0.52769107553387462</v>
      </c>
      <c r="L192" s="18">
        <v>6.3928589208387372</v>
      </c>
      <c r="M192" s="18">
        <v>8.4783079588465711</v>
      </c>
    </row>
    <row r="193" spans="2:13" x14ac:dyDescent="0.15">
      <c r="B193" s="9" t="s">
        <v>312</v>
      </c>
      <c r="C193" s="15">
        <v>1</v>
      </c>
      <c r="D193" s="18">
        <v>7.6619975589018932</v>
      </c>
      <c r="E193" s="18">
        <v>7.4565169706278356</v>
      </c>
      <c r="F193" s="18">
        <v>0.20548058827405757</v>
      </c>
      <c r="G193" s="18">
        <v>0.40159084802695078</v>
      </c>
      <c r="H193" s="18">
        <v>9.892445235234576E-2</v>
      </c>
      <c r="I193" s="18">
        <v>7.2610409491839141</v>
      </c>
      <c r="J193" s="18">
        <v>7.6519929920717571</v>
      </c>
      <c r="K193" s="18">
        <v>0.52114169503015972</v>
      </c>
      <c r="L193" s="18">
        <v>6.4267341138049598</v>
      </c>
      <c r="M193" s="18">
        <v>8.4862998274507113</v>
      </c>
    </row>
    <row r="194" spans="2:13" x14ac:dyDescent="0.15">
      <c r="B194" s="9" t="s">
        <v>313</v>
      </c>
      <c r="C194" s="15">
        <v>1</v>
      </c>
      <c r="D194" s="18">
        <v>7.6755460025378479</v>
      </c>
      <c r="E194" s="18">
        <v>7.5990813714920309</v>
      </c>
      <c r="F194" s="18">
        <v>7.6464631045817022E-2</v>
      </c>
      <c r="G194" s="18">
        <v>0.14944232096903365</v>
      </c>
      <c r="H194" s="18">
        <v>8.0337569556173619E-2</v>
      </c>
      <c r="I194" s="18">
        <v>7.4403332753855098</v>
      </c>
      <c r="J194" s="18">
        <v>7.757829467598552</v>
      </c>
      <c r="K194" s="18">
        <v>0.51793507711670728</v>
      </c>
      <c r="L194" s="18">
        <v>6.5756348339219519</v>
      </c>
      <c r="M194" s="18">
        <v>8.6225279090621108</v>
      </c>
    </row>
    <row r="195" spans="2:13" x14ac:dyDescent="0.15">
      <c r="B195" s="9" t="s">
        <v>314</v>
      </c>
      <c r="C195" s="15">
        <v>1</v>
      </c>
      <c r="D195" s="18">
        <v>7.790696031174738</v>
      </c>
      <c r="E195" s="18">
        <v>7.7271984745153315</v>
      </c>
      <c r="F195" s="18">
        <v>6.3497556659406484E-2</v>
      </c>
      <c r="G195" s="18">
        <v>0.12409949689495728</v>
      </c>
      <c r="H195" s="18">
        <v>8.7518498436684508E-2</v>
      </c>
      <c r="I195" s="18">
        <v>7.5542607683128722</v>
      </c>
      <c r="J195" s="18">
        <v>7.9001361807177908</v>
      </c>
      <c r="K195" s="18">
        <v>0.51909739605810812</v>
      </c>
      <c r="L195" s="18">
        <v>6.7014551794003667</v>
      </c>
      <c r="M195" s="18">
        <v>8.7529417696302971</v>
      </c>
    </row>
    <row r="196" spans="2:13" x14ac:dyDescent="0.15">
      <c r="B196" s="9" t="s">
        <v>315</v>
      </c>
      <c r="C196" s="15">
        <v>1</v>
      </c>
      <c r="D196" s="18">
        <v>8.8346282220173666</v>
      </c>
      <c r="E196" s="18">
        <v>9.0141422808050695</v>
      </c>
      <c r="F196" s="18">
        <v>-0.17951405878770288</v>
      </c>
      <c r="G196" s="18">
        <v>-0.35084191507746026</v>
      </c>
      <c r="H196" s="18">
        <v>0.10952808413502303</v>
      </c>
      <c r="I196" s="18">
        <v>8.7977133432272137</v>
      </c>
      <c r="J196" s="18">
        <v>9.2305712183829254</v>
      </c>
      <c r="K196" s="18">
        <v>0.52325808186781519</v>
      </c>
      <c r="L196" s="18">
        <v>7.980177415701899</v>
      </c>
      <c r="M196" s="18">
        <v>10.04810714590824</v>
      </c>
    </row>
    <row r="197" spans="2:13" x14ac:dyDescent="0.15">
      <c r="B197" s="9" t="s">
        <v>316</v>
      </c>
      <c r="C197" s="15">
        <v>1</v>
      </c>
      <c r="D197" s="18">
        <v>8.024207485778577</v>
      </c>
      <c r="E197" s="18">
        <v>8.3274347487913634</v>
      </c>
      <c r="F197" s="18">
        <v>-0.30322726301278635</v>
      </c>
      <c r="G197" s="18">
        <v>-0.59262675234208628</v>
      </c>
      <c r="H197" s="18">
        <v>0.12884357564831006</v>
      </c>
      <c r="I197" s="18">
        <v>8.0728381454497082</v>
      </c>
      <c r="J197" s="18">
        <v>8.5820313521330185</v>
      </c>
      <c r="K197" s="18">
        <v>0.52763935222037628</v>
      </c>
      <c r="L197" s="18">
        <v>7.2848124357365132</v>
      </c>
      <c r="M197" s="18">
        <v>9.3700570618462145</v>
      </c>
    </row>
    <row r="198" spans="2:13" x14ac:dyDescent="0.15">
      <c r="B198" s="9" t="s">
        <v>317</v>
      </c>
      <c r="C198" s="15">
        <v>1</v>
      </c>
      <c r="D198" s="18">
        <v>7.5963923040641959</v>
      </c>
      <c r="E198" s="18">
        <v>7.859607718578264</v>
      </c>
      <c r="F198" s="18">
        <v>-0.26321541451406816</v>
      </c>
      <c r="G198" s="18">
        <v>-0.51442767619239627</v>
      </c>
      <c r="H198" s="18">
        <v>8.115332777014489E-2</v>
      </c>
      <c r="I198" s="18">
        <v>7.6992476734911275</v>
      </c>
      <c r="J198" s="18">
        <v>8.0199677636654005</v>
      </c>
      <c r="K198" s="18">
        <v>0.51806223722045697</v>
      </c>
      <c r="L198" s="18">
        <v>6.8359099109674997</v>
      </c>
      <c r="M198" s="18">
        <v>8.8833055261890284</v>
      </c>
    </row>
    <row r="199" spans="2:13" x14ac:dyDescent="0.15">
      <c r="B199" s="9" t="s">
        <v>318</v>
      </c>
      <c r="C199" s="15">
        <v>1</v>
      </c>
      <c r="D199" s="18">
        <v>7.5175208506030309</v>
      </c>
      <c r="E199" s="18">
        <v>7.8575149049118735</v>
      </c>
      <c r="F199" s="18">
        <v>-0.33999405430884266</v>
      </c>
      <c r="G199" s="18">
        <v>-0.66448369522819584</v>
      </c>
      <c r="H199" s="18">
        <v>9.215978498937108E-2</v>
      </c>
      <c r="I199" s="18">
        <v>7.6754059553198744</v>
      </c>
      <c r="J199" s="18">
        <v>8.0396238545038727</v>
      </c>
      <c r="K199" s="18">
        <v>0.51990003365549375</v>
      </c>
      <c r="L199" s="18">
        <v>6.8301855873275654</v>
      </c>
      <c r="M199" s="18">
        <v>8.8848442224961808</v>
      </c>
    </row>
    <row r="200" spans="2:13" x14ac:dyDescent="0.15">
      <c r="B200" s="9" t="s">
        <v>319</v>
      </c>
      <c r="C200" s="15">
        <v>1</v>
      </c>
      <c r="D200" s="18">
        <v>7.410347097821024</v>
      </c>
      <c r="E200" s="18">
        <v>7.9939437564825857</v>
      </c>
      <c r="F200" s="18">
        <v>-0.58359665866156174</v>
      </c>
      <c r="G200" s="18">
        <v>-1.1405801347278939</v>
      </c>
      <c r="H200" s="18">
        <v>0.10006642199468084</v>
      </c>
      <c r="I200" s="18">
        <v>7.7962111879768896</v>
      </c>
      <c r="J200" s="18">
        <v>8.1916763249882827</v>
      </c>
      <c r="K200" s="18">
        <v>0.52135967223838287</v>
      </c>
      <c r="L200" s="18">
        <v>6.9637301738238255</v>
      </c>
      <c r="M200" s="18">
        <v>9.0241573391413468</v>
      </c>
    </row>
    <row r="201" spans="2:13" x14ac:dyDescent="0.15">
      <c r="B201" s="9" t="s">
        <v>320</v>
      </c>
      <c r="C201" s="15">
        <v>1</v>
      </c>
      <c r="D201" s="18">
        <v>8.5581431777451922</v>
      </c>
      <c r="E201" s="18">
        <v>8.8980202466679845</v>
      </c>
      <c r="F201" s="18">
        <v>-0.33987706892279235</v>
      </c>
      <c r="G201" s="18">
        <v>-0.66425505922522687</v>
      </c>
      <c r="H201" s="18">
        <v>9.9297531408943651E-2</v>
      </c>
      <c r="I201" s="18">
        <v>8.7018070160919052</v>
      </c>
      <c r="J201" s="18">
        <v>9.0942334772440638</v>
      </c>
      <c r="K201" s="18">
        <v>0.52121264256501554</v>
      </c>
      <c r="L201" s="18">
        <v>7.8680971965813091</v>
      </c>
      <c r="M201" s="18">
        <v>9.927943296754659</v>
      </c>
    </row>
    <row r="202" spans="2:13" x14ac:dyDescent="0.15">
      <c r="B202" s="9" t="s">
        <v>321</v>
      </c>
      <c r="C202" s="15">
        <v>1</v>
      </c>
      <c r="D202" s="18">
        <v>7.5043915591612382</v>
      </c>
      <c r="E202" s="18">
        <v>7.7749378313124131</v>
      </c>
      <c r="F202" s="18">
        <v>-0.27054627215117488</v>
      </c>
      <c r="G202" s="18">
        <v>-0.5287550895990778</v>
      </c>
      <c r="H202" s="18">
        <v>9.1678556399897124E-2</v>
      </c>
      <c r="I202" s="18">
        <v>7.5937797957546946</v>
      </c>
      <c r="J202" s="18">
        <v>7.9560958668701316</v>
      </c>
      <c r="K202" s="18">
        <v>0.51981494469596157</v>
      </c>
      <c r="L202" s="18">
        <v>6.7477766506334165</v>
      </c>
      <c r="M202" s="18">
        <v>8.8020990119914089</v>
      </c>
    </row>
    <row r="203" spans="2:13" x14ac:dyDescent="0.15">
      <c r="B203" s="9" t="s">
        <v>322</v>
      </c>
      <c r="C203" s="15">
        <v>1</v>
      </c>
      <c r="D203" s="18">
        <v>7.329093736246592</v>
      </c>
      <c r="E203" s="18">
        <v>7.3958267095549051</v>
      </c>
      <c r="F203" s="18">
        <v>-6.6732973308313071E-2</v>
      </c>
      <c r="G203" s="18">
        <v>-0.13042278867968765</v>
      </c>
      <c r="H203" s="18">
        <v>9.2656535291727196E-2</v>
      </c>
      <c r="I203" s="18">
        <v>7.2127361748194287</v>
      </c>
      <c r="J203" s="18">
        <v>7.5789172442903814</v>
      </c>
      <c r="K203" s="18">
        <v>0.51998831963608905</v>
      </c>
      <c r="L203" s="18">
        <v>6.3683229377095358</v>
      </c>
      <c r="M203" s="18">
        <v>8.4233304814002743</v>
      </c>
    </row>
    <row r="204" spans="2:13" x14ac:dyDescent="0.15">
      <c r="B204" s="9" t="s">
        <v>323</v>
      </c>
      <c r="C204" s="15">
        <v>1</v>
      </c>
      <c r="D204" s="18">
        <v>7.3018223421379318</v>
      </c>
      <c r="E204" s="18">
        <v>7.2159166863475512</v>
      </c>
      <c r="F204" s="18">
        <v>8.5905655790380564E-2</v>
      </c>
      <c r="G204" s="18">
        <v>0.16789384072211086</v>
      </c>
      <c r="H204" s="18">
        <v>0.11070872368263644</v>
      </c>
      <c r="I204" s="18">
        <v>6.9971547894655108</v>
      </c>
      <c r="J204" s="18">
        <v>7.4346785832295916</v>
      </c>
      <c r="K204" s="18">
        <v>0.52350648565718338</v>
      </c>
      <c r="L204" s="18">
        <v>6.181460972083201</v>
      </c>
      <c r="M204" s="18">
        <v>8.2503724006119015</v>
      </c>
    </row>
    <row r="205" spans="2:13" x14ac:dyDescent="0.15">
      <c r="B205" s="9" t="s">
        <v>324</v>
      </c>
      <c r="C205" s="15">
        <v>1</v>
      </c>
      <c r="D205" s="18">
        <v>7.2984451015081468</v>
      </c>
      <c r="E205" s="18">
        <v>7.2097013985425917</v>
      </c>
      <c r="F205" s="18">
        <v>8.8743702965555116E-2</v>
      </c>
      <c r="G205" s="18">
        <v>0.17344051440740679</v>
      </c>
      <c r="H205" s="18">
        <v>0.10335882557262946</v>
      </c>
      <c r="I205" s="18">
        <v>7.0054629971805973</v>
      </c>
      <c r="J205" s="18">
        <v>7.4139397999045862</v>
      </c>
      <c r="K205" s="18">
        <v>0.52200159563879656</v>
      </c>
      <c r="L205" s="18">
        <v>6.1782193667855472</v>
      </c>
      <c r="M205" s="18">
        <v>8.2411834302996372</v>
      </c>
    </row>
    <row r="206" spans="2:13" x14ac:dyDescent="0.15">
      <c r="B206" s="9" t="s">
        <v>325</v>
      </c>
      <c r="C206" s="15">
        <v>1</v>
      </c>
      <c r="D206" s="18">
        <v>8.9602109555769864</v>
      </c>
      <c r="E206" s="18">
        <v>8.9914702664704915</v>
      </c>
      <c r="F206" s="18">
        <v>-3.1259310893505088E-2</v>
      </c>
      <c r="G206" s="18">
        <v>-6.1093134275622046E-2</v>
      </c>
      <c r="H206" s="18">
        <v>9.3200613307519567E-2</v>
      </c>
      <c r="I206" s="18">
        <v>8.8073046264061183</v>
      </c>
      <c r="J206" s="18">
        <v>9.1756359065348647</v>
      </c>
      <c r="K206" s="18">
        <v>0.52008554425843667</v>
      </c>
      <c r="L206" s="18">
        <v>7.9637743774901679</v>
      </c>
      <c r="M206" s="18">
        <v>10.019166155450815</v>
      </c>
    </row>
    <row r="207" spans="2:13" x14ac:dyDescent="0.15">
      <c r="B207" s="9" t="s">
        <v>326</v>
      </c>
      <c r="C207" s="15">
        <v>1</v>
      </c>
      <c r="D207" s="18">
        <v>7.726212650507529</v>
      </c>
      <c r="E207" s="18">
        <v>8.0415242791880619</v>
      </c>
      <c r="F207" s="18">
        <v>-0.31531162868053286</v>
      </c>
      <c r="G207" s="18">
        <v>-0.61624441227357085</v>
      </c>
      <c r="H207" s="18">
        <v>8.7321481682695101E-2</v>
      </c>
      <c r="I207" s="18">
        <v>7.868975880687711</v>
      </c>
      <c r="J207" s="18">
        <v>8.2140726776884119</v>
      </c>
      <c r="K207" s="18">
        <v>0.51906421586250551</v>
      </c>
      <c r="L207" s="18">
        <v>7.015846548576846</v>
      </c>
      <c r="M207" s="18">
        <v>9.0672020097992778</v>
      </c>
    </row>
    <row r="208" spans="2:13" x14ac:dyDescent="0.15">
      <c r="B208" s="9" t="s">
        <v>327</v>
      </c>
      <c r="C208" s="15">
        <v>1</v>
      </c>
      <c r="D208" s="18">
        <v>7.564238475170491</v>
      </c>
      <c r="E208" s="18">
        <v>7.7908266699505822</v>
      </c>
      <c r="F208" s="18">
        <v>-0.22658819478009118</v>
      </c>
      <c r="G208" s="18">
        <v>-0.44284351168621383</v>
      </c>
      <c r="H208" s="18">
        <v>8.536829444869648E-2</v>
      </c>
      <c r="I208" s="18">
        <v>7.6221377951631073</v>
      </c>
      <c r="J208" s="18">
        <v>7.959515544738057</v>
      </c>
      <c r="K208" s="18">
        <v>0.51873920684943009</v>
      </c>
      <c r="L208" s="18">
        <v>6.7657911614320714</v>
      </c>
      <c r="M208" s="18">
        <v>8.8158621784690929</v>
      </c>
    </row>
    <row r="209" spans="2:13" x14ac:dyDescent="0.15">
      <c r="B209" s="9" t="s">
        <v>328</v>
      </c>
      <c r="C209" s="15">
        <v>1</v>
      </c>
      <c r="D209" s="18">
        <v>7.2751723194527713</v>
      </c>
      <c r="E209" s="18">
        <v>7.8699542471096775</v>
      </c>
      <c r="F209" s="18">
        <v>-0.59478192765690618</v>
      </c>
      <c r="G209" s="18">
        <v>-1.1624406019329951</v>
      </c>
      <c r="H209" s="18">
        <v>8.4847941917539457E-2</v>
      </c>
      <c r="I209" s="18">
        <v>7.7022935957808123</v>
      </c>
      <c r="J209" s="18">
        <v>8.0376148984385427</v>
      </c>
      <c r="K209" s="18">
        <v>0.51865382701117568</v>
      </c>
      <c r="L209" s="18">
        <v>6.8450874502766661</v>
      </c>
      <c r="M209" s="18">
        <v>8.894821043942688</v>
      </c>
    </row>
    <row r="210" spans="2:13" x14ac:dyDescent="0.15">
      <c r="B210" s="9" t="s">
        <v>329</v>
      </c>
      <c r="C210" s="15">
        <v>1</v>
      </c>
      <c r="D210" s="18">
        <v>8.525756422076725</v>
      </c>
      <c r="E210" s="18">
        <v>8.4606143594563328</v>
      </c>
      <c r="F210" s="18">
        <v>6.5142062620392238E-2</v>
      </c>
      <c r="G210" s="18">
        <v>0.1273135160342096</v>
      </c>
      <c r="H210" s="18">
        <v>9.0849110910946995E-2</v>
      </c>
      <c r="I210" s="18">
        <v>8.2810953191149554</v>
      </c>
      <c r="J210" s="18">
        <v>8.6401333997977101</v>
      </c>
      <c r="K210" s="18">
        <v>0.51966929866888034</v>
      </c>
      <c r="L210" s="18">
        <v>7.4337409772461269</v>
      </c>
      <c r="M210" s="18">
        <v>9.4874877416665377</v>
      </c>
    </row>
    <row r="211" spans="2:13" x14ac:dyDescent="0.15">
      <c r="B211" s="9" t="s">
        <v>330</v>
      </c>
      <c r="C211" s="15">
        <v>1</v>
      </c>
      <c r="D211" s="18">
        <v>7.7853051825398616</v>
      </c>
      <c r="E211" s="18">
        <v>6.6793891312953821</v>
      </c>
      <c r="F211" s="18">
        <v>1.1059160512444794</v>
      </c>
      <c r="G211" s="18">
        <v>2.1614001040017423</v>
      </c>
      <c r="H211" s="18">
        <v>0.17615412382160797</v>
      </c>
      <c r="I211" s="18">
        <v>6.3313062613195923</v>
      </c>
      <c r="J211" s="18">
        <v>7.027472001271172</v>
      </c>
      <c r="K211" s="18">
        <v>0.5411403647530415</v>
      </c>
      <c r="L211" s="18">
        <v>5.6100886395638385</v>
      </c>
      <c r="M211" s="18">
        <v>7.7486896230269258</v>
      </c>
    </row>
    <row r="212" spans="2:13" x14ac:dyDescent="0.15">
      <c r="B212" s="9" t="s">
        <v>331</v>
      </c>
      <c r="C212" s="15">
        <v>1</v>
      </c>
      <c r="D212" s="18">
        <v>9.5828000784703633</v>
      </c>
      <c r="E212" s="18">
        <v>9.2469170431618313</v>
      </c>
      <c r="F212" s="18">
        <v>0.33588303530853203</v>
      </c>
      <c r="G212" s="18">
        <v>0.65644912797073929</v>
      </c>
      <c r="H212" s="18">
        <v>0.10094779559224305</v>
      </c>
      <c r="I212" s="18">
        <v>9.047442868812885</v>
      </c>
      <c r="J212" s="18">
        <v>9.4463912175107776</v>
      </c>
      <c r="K212" s="18">
        <v>0.52152955473360252</v>
      </c>
      <c r="L212" s="18">
        <v>8.2163677704538589</v>
      </c>
      <c r="M212" s="18">
        <v>10.277466315869804</v>
      </c>
    </row>
    <row r="213" spans="2:13" x14ac:dyDescent="0.15">
      <c r="B213" s="9" t="s">
        <v>332</v>
      </c>
      <c r="C213" s="15">
        <v>1</v>
      </c>
      <c r="D213" s="18">
        <v>10.587417383546464</v>
      </c>
      <c r="E213" s="18">
        <v>9.9489099162853769</v>
      </c>
      <c r="F213" s="18">
        <v>0.63850746726108731</v>
      </c>
      <c r="G213" s="18">
        <v>1.247897708502395</v>
      </c>
      <c r="H213" s="18">
        <v>0.15412043308787415</v>
      </c>
      <c r="I213" s="18">
        <v>9.6443659095525724</v>
      </c>
      <c r="J213" s="18">
        <v>10.253453923018181</v>
      </c>
      <c r="K213" s="18">
        <v>0.53437414507149428</v>
      </c>
      <c r="L213" s="18">
        <v>8.8929795638077103</v>
      </c>
      <c r="M213" s="18">
        <v>11.004840268763044</v>
      </c>
    </row>
    <row r="214" spans="2:13" x14ac:dyDescent="0.15">
      <c r="B214" s="9" t="s">
        <v>333</v>
      </c>
      <c r="C214" s="15">
        <v>1</v>
      </c>
      <c r="D214" s="18">
        <v>10.188741679913241</v>
      </c>
      <c r="E214" s="18">
        <v>9.7249182297189645</v>
      </c>
      <c r="F214" s="18">
        <v>0.46382345019427618</v>
      </c>
      <c r="G214" s="18">
        <v>0.90649561723988026</v>
      </c>
      <c r="H214" s="18">
        <v>0.13910710124341696</v>
      </c>
      <c r="I214" s="18">
        <v>9.4500407645518294</v>
      </c>
      <c r="J214" s="18">
        <v>9.9997956948860995</v>
      </c>
      <c r="K214" s="18">
        <v>0.53023900709212513</v>
      </c>
      <c r="L214" s="18">
        <v>8.6771589643800944</v>
      </c>
      <c r="M214" s="18">
        <v>10.772677495057835</v>
      </c>
    </row>
    <row r="215" spans="2:13" x14ac:dyDescent="0.15">
      <c r="B215" s="9" t="s">
        <v>334</v>
      </c>
      <c r="C215" s="15">
        <v>1</v>
      </c>
      <c r="D215" s="18">
        <v>7.3802557884264601</v>
      </c>
      <c r="E215" s="18">
        <v>7.3867960108954982</v>
      </c>
      <c r="F215" s="18">
        <v>-6.5402224690380706E-3</v>
      </c>
      <c r="G215" s="18">
        <v>-1.2782197626000849E-2</v>
      </c>
      <c r="H215" s="18">
        <v>9.2393666239461464E-2</v>
      </c>
      <c r="I215" s="18">
        <v>7.2042249088713053</v>
      </c>
      <c r="J215" s="18">
        <v>7.5693671129196911</v>
      </c>
      <c r="K215" s="18">
        <v>0.51994154343239918</v>
      </c>
      <c r="L215" s="18">
        <v>6.3593846694450225</v>
      </c>
      <c r="M215" s="18">
        <v>8.4142073523459739</v>
      </c>
    </row>
    <row r="216" spans="2:13" x14ac:dyDescent="0.15">
      <c r="B216" s="9" t="s">
        <v>335</v>
      </c>
      <c r="C216" s="15">
        <v>1</v>
      </c>
      <c r="D216" s="18">
        <v>7.6694952510076941</v>
      </c>
      <c r="E216" s="18">
        <v>7.515714764536229</v>
      </c>
      <c r="F216" s="18">
        <v>0.15378048647146514</v>
      </c>
      <c r="G216" s="18">
        <v>0.3005482731522317</v>
      </c>
      <c r="H216" s="18">
        <v>0.13922536329958629</v>
      </c>
      <c r="I216" s="18">
        <v>7.240603611987682</v>
      </c>
      <c r="J216" s="18">
        <v>7.790825917084776</v>
      </c>
      <c r="K216" s="18">
        <v>0.53027004517660459</v>
      </c>
      <c r="L216" s="18">
        <v>6.4678941675334176</v>
      </c>
      <c r="M216" s="18">
        <v>8.5635353615390404</v>
      </c>
    </row>
    <row r="217" spans="2:13" x14ac:dyDescent="0.15">
      <c r="B217" s="9" t="s">
        <v>336</v>
      </c>
      <c r="C217" s="15">
        <v>1</v>
      </c>
      <c r="D217" s="18">
        <v>7.4960973451759561</v>
      </c>
      <c r="E217" s="18">
        <v>7.4499198071004669</v>
      </c>
      <c r="F217" s="18">
        <v>4.6177538075489188E-2</v>
      </c>
      <c r="G217" s="18">
        <v>9.0249287445094376E-2</v>
      </c>
      <c r="H217" s="18">
        <v>9.5167753058936794E-2</v>
      </c>
      <c r="I217" s="18">
        <v>7.2618670729649377</v>
      </c>
      <c r="J217" s="18">
        <v>7.637972541235996</v>
      </c>
      <c r="K217" s="18">
        <v>0.5204416588321723</v>
      </c>
      <c r="L217" s="18">
        <v>6.4215202310296737</v>
      </c>
      <c r="M217" s="18">
        <v>8.4783193831712591</v>
      </c>
    </row>
    <row r="218" spans="2:13" x14ac:dyDescent="0.15">
      <c r="B218" s="9" t="s">
        <v>337</v>
      </c>
      <c r="C218" s="15">
        <v>1</v>
      </c>
      <c r="D218" s="18">
        <v>7.5432733467054458</v>
      </c>
      <c r="E218" s="18">
        <v>7.397395463668289</v>
      </c>
      <c r="F218" s="18">
        <v>0.14587788303715676</v>
      </c>
      <c r="G218" s="18">
        <v>0.28510344091060008</v>
      </c>
      <c r="H218" s="18">
        <v>8.3719930683680693E-2</v>
      </c>
      <c r="I218" s="18">
        <v>7.231963777402111</v>
      </c>
      <c r="J218" s="18">
        <v>7.562827149934467</v>
      </c>
      <c r="K218" s="18">
        <v>0.51847048693187614</v>
      </c>
      <c r="L218" s="18">
        <v>6.3728909492479717</v>
      </c>
      <c r="M218" s="18">
        <v>8.4218999780886055</v>
      </c>
    </row>
    <row r="219" spans="2:13" x14ac:dyDescent="0.15">
      <c r="B219" s="9" t="s">
        <v>338</v>
      </c>
      <c r="C219" s="15">
        <v>1</v>
      </c>
      <c r="D219" s="18">
        <v>7.6643466320986171</v>
      </c>
      <c r="E219" s="18">
        <v>7.7667560016752484</v>
      </c>
      <c r="F219" s="18">
        <v>-0.10240936957663127</v>
      </c>
      <c r="G219" s="18">
        <v>-0.20014866571888779</v>
      </c>
      <c r="H219" s="18">
        <v>8.5048990893653975E-2</v>
      </c>
      <c r="I219" s="18">
        <v>7.59869807492022</v>
      </c>
      <c r="J219" s="18">
        <v>7.9348139284302768</v>
      </c>
      <c r="K219" s="18">
        <v>0.51868675506294282</v>
      </c>
      <c r="L219" s="18">
        <v>6.7418241385780293</v>
      </c>
      <c r="M219" s="18">
        <v>8.7916878647724666</v>
      </c>
    </row>
    <row r="220" spans="2:13" x14ac:dyDescent="0.15">
      <c r="B220" s="9" t="s">
        <v>339</v>
      </c>
      <c r="C220" s="15">
        <v>1</v>
      </c>
      <c r="D220" s="18">
        <v>8.1158197012113273</v>
      </c>
      <c r="E220" s="18">
        <v>7.7922740629996898</v>
      </c>
      <c r="F220" s="18">
        <v>0.32354563821163751</v>
      </c>
      <c r="G220" s="18">
        <v>0.63233694392355833</v>
      </c>
      <c r="H220" s="18">
        <v>8.1450503396390789E-2</v>
      </c>
      <c r="I220" s="18">
        <v>7.631326794959004</v>
      </c>
      <c r="J220" s="18">
        <v>7.9532213310403757</v>
      </c>
      <c r="K220" s="18">
        <v>0.51810887227417945</v>
      </c>
      <c r="L220" s="18">
        <v>6.7684841039082269</v>
      </c>
      <c r="M220" s="18">
        <v>8.8160640220911528</v>
      </c>
    </row>
    <row r="221" spans="2:13" x14ac:dyDescent="0.15">
      <c r="B221" s="9" t="s">
        <v>340</v>
      </c>
      <c r="C221" s="15">
        <v>1</v>
      </c>
      <c r="D221" s="18">
        <v>9.5305380361046428</v>
      </c>
      <c r="E221" s="18">
        <v>8.5748261455518584</v>
      </c>
      <c r="F221" s="18">
        <v>0.95571189055278438</v>
      </c>
      <c r="G221" s="18">
        <v>1.8678413947532453</v>
      </c>
      <c r="H221" s="18">
        <v>9.1615142129789925E-2</v>
      </c>
      <c r="I221" s="18">
        <v>8.3937934174275259</v>
      </c>
      <c r="J221" s="18">
        <v>8.7558588736761909</v>
      </c>
      <c r="K221" s="18">
        <v>0.5198037642160338</v>
      </c>
      <c r="L221" s="18">
        <v>7.547687057648532</v>
      </c>
      <c r="M221" s="18">
        <v>9.6019652334551839</v>
      </c>
    </row>
    <row r="222" spans="2:13" x14ac:dyDescent="0.15">
      <c r="B222" s="9" t="s">
        <v>341</v>
      </c>
      <c r="C222" s="15">
        <v>1</v>
      </c>
      <c r="D222" s="18">
        <v>9.3494934333687585</v>
      </c>
      <c r="E222" s="18">
        <v>8.6725324116357374</v>
      </c>
      <c r="F222" s="18">
        <v>0.67696102173302108</v>
      </c>
      <c r="G222" s="18">
        <v>1.3230512579434646</v>
      </c>
      <c r="H222" s="18">
        <v>8.7961239293873283E-2</v>
      </c>
      <c r="I222" s="18">
        <v>8.498719843665171</v>
      </c>
      <c r="J222" s="18">
        <v>8.8463449796063038</v>
      </c>
      <c r="K222" s="18">
        <v>0.5191722244533219</v>
      </c>
      <c r="L222" s="18">
        <v>7.6466412546257647</v>
      </c>
      <c r="M222" s="18">
        <v>9.6984235686457101</v>
      </c>
    </row>
    <row r="223" spans="2:13" x14ac:dyDescent="0.15">
      <c r="B223" s="9" t="s">
        <v>342</v>
      </c>
      <c r="C223" s="15">
        <v>1</v>
      </c>
      <c r="D223" s="18">
        <v>7.8292325375435921</v>
      </c>
      <c r="E223" s="18">
        <v>7.6841856931747605</v>
      </c>
      <c r="F223" s="18">
        <v>0.14504684436883153</v>
      </c>
      <c r="G223" s="18">
        <v>0.28347926061036266</v>
      </c>
      <c r="H223" s="18">
        <v>9.2085636952830036E-2</v>
      </c>
      <c r="I223" s="18">
        <v>7.5022232610800659</v>
      </c>
      <c r="J223" s="18">
        <v>7.8661481252694552</v>
      </c>
      <c r="K223" s="18">
        <v>0.51988689496726581</v>
      </c>
      <c r="L223" s="18">
        <v>6.6568823378115285</v>
      </c>
      <c r="M223" s="18">
        <v>8.7114890485379917</v>
      </c>
    </row>
    <row r="224" spans="2:13" x14ac:dyDescent="0.15">
      <c r="B224" s="9" t="s">
        <v>343</v>
      </c>
      <c r="C224" s="15">
        <v>1</v>
      </c>
      <c r="D224" s="18">
        <v>7.8497137576048699</v>
      </c>
      <c r="E224" s="18">
        <v>7.7867793050766094</v>
      </c>
      <c r="F224" s="18">
        <v>6.2934452528260465E-2</v>
      </c>
      <c r="G224" s="18">
        <v>0.12299896731474798</v>
      </c>
      <c r="H224" s="18">
        <v>8.1913910160098399E-2</v>
      </c>
      <c r="I224" s="18">
        <v>7.6249163391642067</v>
      </c>
      <c r="J224" s="18">
        <v>7.9486422709890121</v>
      </c>
      <c r="K224" s="18">
        <v>0.51818192529594576</v>
      </c>
      <c r="L224" s="18">
        <v>6.7628449922514662</v>
      </c>
      <c r="M224" s="18">
        <v>8.8107136179017527</v>
      </c>
    </row>
    <row r="225" spans="2:13" x14ac:dyDescent="0.15">
      <c r="B225" s="9" t="s">
        <v>344</v>
      </c>
      <c r="C225" s="15">
        <v>1</v>
      </c>
      <c r="D225" s="18">
        <v>7.6420444028732577</v>
      </c>
      <c r="E225" s="18">
        <v>7.9237760063012068</v>
      </c>
      <c r="F225" s="18">
        <v>-0.28173160342794912</v>
      </c>
      <c r="G225" s="18">
        <v>-0.55061567852687998</v>
      </c>
      <c r="H225" s="18">
        <v>8.1905079629997005E-2</v>
      </c>
      <c r="I225" s="18">
        <v>7.7619304896326504</v>
      </c>
      <c r="J225" s="18">
        <v>8.0856215229697632</v>
      </c>
      <c r="K225" s="18">
        <v>0.51818052944402748</v>
      </c>
      <c r="L225" s="18">
        <v>6.8998444516978488</v>
      </c>
      <c r="M225" s="18">
        <v>8.9477075609045649</v>
      </c>
    </row>
    <row r="226" spans="2:13" x14ac:dyDescent="0.15">
      <c r="B226" s="9" t="s">
        <v>345</v>
      </c>
      <c r="C226" s="15">
        <v>1</v>
      </c>
      <c r="D226" s="18">
        <v>8.5998785580348454</v>
      </c>
      <c r="E226" s="18">
        <v>8.3949704200836752</v>
      </c>
      <c r="F226" s="18">
        <v>0.20490813795117013</v>
      </c>
      <c r="G226" s="18">
        <v>0.40047205226841881</v>
      </c>
      <c r="H226" s="18">
        <v>9.873394141921267E-2</v>
      </c>
      <c r="I226" s="18">
        <v>8.1998708507541185</v>
      </c>
      <c r="J226" s="18">
        <v>8.590069989413232</v>
      </c>
      <c r="K226" s="18">
        <v>0.52110556532613328</v>
      </c>
      <c r="L226" s="18">
        <v>7.3652589560320623</v>
      </c>
      <c r="M226" s="18">
        <v>9.4246818841352891</v>
      </c>
    </row>
    <row r="227" spans="2:13" x14ac:dyDescent="0.15">
      <c r="B227" s="9" t="s">
        <v>346</v>
      </c>
      <c r="C227" s="15">
        <v>1</v>
      </c>
      <c r="D227" s="18">
        <v>7.2026611965232377</v>
      </c>
      <c r="E227" s="18">
        <v>7.3677436111947134</v>
      </c>
      <c r="F227" s="18">
        <v>-0.16508241467147577</v>
      </c>
      <c r="G227" s="18">
        <v>-0.32263673887206151</v>
      </c>
      <c r="H227" s="18">
        <v>9.2550724217802763E-2</v>
      </c>
      <c r="I227" s="18">
        <v>7.1848621605356575</v>
      </c>
      <c r="J227" s="18">
        <v>7.5506250618537694</v>
      </c>
      <c r="K227" s="18">
        <v>0.51996947562230633</v>
      </c>
      <c r="L227" s="18">
        <v>6.3402770753688991</v>
      </c>
      <c r="M227" s="18">
        <v>8.3952101470205278</v>
      </c>
    </row>
    <row r="228" spans="2:13" x14ac:dyDescent="0.15">
      <c r="B228" s="9" t="s">
        <v>347</v>
      </c>
      <c r="C228" s="15">
        <v>1</v>
      </c>
      <c r="D228" s="18">
        <v>7.1220598816291423</v>
      </c>
      <c r="E228" s="18">
        <v>7.6709181653857277</v>
      </c>
      <c r="F228" s="18">
        <v>-0.54885828375658541</v>
      </c>
      <c r="G228" s="18">
        <v>-1.0726875247526826</v>
      </c>
      <c r="H228" s="18">
        <v>0.10295891629416437</v>
      </c>
      <c r="I228" s="18">
        <v>7.4674699900278609</v>
      </c>
      <c r="J228" s="18">
        <v>7.8743663407435944</v>
      </c>
      <c r="K228" s="18">
        <v>0.52192255888222072</v>
      </c>
      <c r="L228" s="18">
        <v>6.6395923113011985</v>
      </c>
      <c r="M228" s="18">
        <v>8.7022440194702568</v>
      </c>
    </row>
    <row r="229" spans="2:13" x14ac:dyDescent="0.15">
      <c r="B229" s="9" t="s">
        <v>348</v>
      </c>
      <c r="C229" s="15">
        <v>1</v>
      </c>
      <c r="D229" s="18">
        <v>7.3870902356567569</v>
      </c>
      <c r="E229" s="18">
        <v>7.515803085804218</v>
      </c>
      <c r="F229" s="18">
        <v>-0.12871285014746103</v>
      </c>
      <c r="G229" s="18">
        <v>-0.25155613518948977</v>
      </c>
      <c r="H229" s="18">
        <v>8.6322396616136429E-2</v>
      </c>
      <c r="I229" s="18">
        <v>7.3452288925610194</v>
      </c>
      <c r="J229" s="18">
        <v>7.6863772790474165</v>
      </c>
      <c r="K229" s="18">
        <v>0.51889707571275634</v>
      </c>
      <c r="L229" s="18">
        <v>6.4904556263314275</v>
      </c>
      <c r="M229" s="18">
        <v>8.5411505452770093</v>
      </c>
    </row>
    <row r="230" spans="2:13" x14ac:dyDescent="0.15">
      <c r="B230" s="9" t="s">
        <v>349</v>
      </c>
      <c r="C230" s="15">
        <v>1</v>
      </c>
      <c r="D230" s="18">
        <v>8.119100837637486</v>
      </c>
      <c r="E230" s="18">
        <v>8.0805094225297225</v>
      </c>
      <c r="F230" s="18">
        <v>3.8591415107763538E-2</v>
      </c>
      <c r="G230" s="18">
        <v>7.5422983990179146E-2</v>
      </c>
      <c r="H230" s="18">
        <v>0.18924464982709371</v>
      </c>
      <c r="I230" s="18">
        <v>7.7065595006642091</v>
      </c>
      <c r="J230" s="18">
        <v>8.4544593443952358</v>
      </c>
      <c r="K230" s="18">
        <v>0.54554207584188752</v>
      </c>
      <c r="L230" s="18">
        <v>7.0025110916822388</v>
      </c>
      <c r="M230" s="18">
        <v>9.1585077533772061</v>
      </c>
    </row>
    <row r="231" spans="2:13" x14ac:dyDescent="0.15">
      <c r="B231" s="9" t="s">
        <v>350</v>
      </c>
      <c r="C231" s="15">
        <v>1</v>
      </c>
      <c r="D231" s="18">
        <v>7.8009820712577405</v>
      </c>
      <c r="E231" s="18">
        <v>7.5670119345884004</v>
      </c>
      <c r="F231" s="18">
        <v>0.23397013666934008</v>
      </c>
      <c r="G231" s="18">
        <v>0.45727076405243366</v>
      </c>
      <c r="H231" s="18">
        <v>8.7110863265043192E-2</v>
      </c>
      <c r="I231" s="18">
        <v>7.3948797208567942</v>
      </c>
      <c r="J231" s="18">
        <v>7.7391441483200065</v>
      </c>
      <c r="K231" s="18">
        <v>0.51902882533099981</v>
      </c>
      <c r="L231" s="18">
        <v>6.5414041361338047</v>
      </c>
      <c r="M231" s="18">
        <v>8.5926197330429961</v>
      </c>
    </row>
    <row r="232" spans="2:13" x14ac:dyDescent="0.15">
      <c r="B232" s="9" t="s">
        <v>351</v>
      </c>
      <c r="C232" s="15">
        <v>1</v>
      </c>
      <c r="D232" s="18">
        <v>7.6615270813585168</v>
      </c>
      <c r="E232" s="18">
        <v>7.7661520141942164</v>
      </c>
      <c r="F232" s="18">
        <v>-0.10462493283569962</v>
      </c>
      <c r="G232" s="18">
        <v>-0.20447875809179808</v>
      </c>
      <c r="H232" s="18">
        <v>8.7143557084042436E-2</v>
      </c>
      <c r="I232" s="18">
        <v>7.5939551970454389</v>
      </c>
      <c r="J232" s="18">
        <v>7.938348831342994</v>
      </c>
      <c r="K232" s="18">
        <v>0.51903431347740026</v>
      </c>
      <c r="L232" s="18">
        <v>6.740533371090013</v>
      </c>
      <c r="M232" s="18">
        <v>8.7917706572984198</v>
      </c>
    </row>
    <row r="233" spans="2:13" x14ac:dyDescent="0.15">
      <c r="B233" s="9" t="s">
        <v>352</v>
      </c>
      <c r="C233" s="15">
        <v>1</v>
      </c>
      <c r="D233" s="18">
        <v>7.5673456760132396</v>
      </c>
      <c r="E233" s="18">
        <v>7.4809503981702017</v>
      </c>
      <c r="F233" s="18">
        <v>8.639527784303791E-2</v>
      </c>
      <c r="G233" s="18">
        <v>0.16885075707606401</v>
      </c>
      <c r="H233" s="18">
        <v>8.6736043485081307E-2</v>
      </c>
      <c r="I233" s="18">
        <v>7.3095588332630586</v>
      </c>
      <c r="J233" s="18">
        <v>7.6523419630773448</v>
      </c>
      <c r="K233" s="18">
        <v>0.51896604924131828</v>
      </c>
      <c r="L233" s="18">
        <v>6.4554666460960615</v>
      </c>
      <c r="M233" s="18">
        <v>8.5064341502443419</v>
      </c>
    </row>
    <row r="234" spans="2:13" x14ac:dyDescent="0.15">
      <c r="B234" s="9" t="s">
        <v>353</v>
      </c>
      <c r="C234" s="15">
        <v>1</v>
      </c>
      <c r="D234" s="18">
        <v>8.4955608912891236</v>
      </c>
      <c r="E234" s="18">
        <v>8.3168383266445804</v>
      </c>
      <c r="F234" s="18">
        <v>0.17872256464454317</v>
      </c>
      <c r="G234" s="18">
        <v>0.34929502051759104</v>
      </c>
      <c r="H234" s="18">
        <v>0.11019601988054793</v>
      </c>
      <c r="I234" s="18">
        <v>8.0990895392317181</v>
      </c>
      <c r="J234" s="18">
        <v>8.5345871140574427</v>
      </c>
      <c r="K234" s="18">
        <v>0.52339830131861387</v>
      </c>
      <c r="L234" s="18">
        <v>7.2825963860588629</v>
      </c>
      <c r="M234" s="18">
        <v>9.3510802672302979</v>
      </c>
    </row>
    <row r="235" spans="2:13" x14ac:dyDescent="0.15">
      <c r="B235" s="9" t="s">
        <v>354</v>
      </c>
      <c r="C235" s="15">
        <v>1</v>
      </c>
      <c r="D235" s="18">
        <v>7.6280311269303347</v>
      </c>
      <c r="E235" s="18">
        <v>7.2664124396248111</v>
      </c>
      <c r="F235" s="18">
        <v>0.3616186873055236</v>
      </c>
      <c r="G235" s="18">
        <v>0.7067468344198462</v>
      </c>
      <c r="H235" s="18">
        <v>0.14135582734586838</v>
      </c>
      <c r="I235" s="18">
        <v>6.9870914620462177</v>
      </c>
      <c r="J235" s="18">
        <v>7.5457334172034045</v>
      </c>
      <c r="K235" s="18">
        <v>0.53083339095269</v>
      </c>
      <c r="L235" s="18">
        <v>6.2174786639448598</v>
      </c>
      <c r="M235" s="18">
        <v>8.3153462153047624</v>
      </c>
    </row>
    <row r="236" spans="2:13" x14ac:dyDescent="0.15">
      <c r="B236" s="9" t="s">
        <v>355</v>
      </c>
      <c r="C236" s="15">
        <v>1</v>
      </c>
      <c r="D236" s="18">
        <v>9.4841009890869188</v>
      </c>
      <c r="E236" s="18">
        <v>7.9531495146599491</v>
      </c>
      <c r="F236" s="18">
        <v>1.5309514744269697</v>
      </c>
      <c r="G236" s="18">
        <v>2.9920884793420623</v>
      </c>
      <c r="H236" s="18">
        <v>8.0829254579472168E-2</v>
      </c>
      <c r="I236" s="18">
        <v>7.7934298424681181</v>
      </c>
      <c r="J236" s="18">
        <v>8.1128691868517802</v>
      </c>
      <c r="K236" s="18">
        <v>0.51801157074101112</v>
      </c>
      <c r="L236" s="18">
        <v>6.9295518246802361</v>
      </c>
      <c r="M236" s="18">
        <v>8.9767472046396612</v>
      </c>
    </row>
    <row r="237" spans="2:13" x14ac:dyDescent="0.15">
      <c r="B237" s="9" t="s">
        <v>356</v>
      </c>
      <c r="C237" s="15">
        <v>1</v>
      </c>
      <c r="D237" s="18">
        <v>7.7527648088513281</v>
      </c>
      <c r="E237" s="18">
        <v>7.8525752917383143</v>
      </c>
      <c r="F237" s="18">
        <v>-9.9810482886986129E-2</v>
      </c>
      <c r="G237" s="18">
        <v>-0.19506940680500665</v>
      </c>
      <c r="H237" s="18">
        <v>9.3782944588340911E-2</v>
      </c>
      <c r="I237" s="18">
        <v>7.667258957389258</v>
      </c>
      <c r="J237" s="18">
        <v>8.0378916260873705</v>
      </c>
      <c r="K237" s="18">
        <v>0.52019021494195405</v>
      </c>
      <c r="L237" s="18">
        <v>6.8246725721080423</v>
      </c>
      <c r="M237" s="18">
        <v>8.8804780113685862</v>
      </c>
    </row>
    <row r="238" spans="2:13" x14ac:dyDescent="0.15">
      <c r="B238" s="9" t="s">
        <v>357</v>
      </c>
      <c r="C238" s="15">
        <v>1</v>
      </c>
      <c r="D238" s="18">
        <v>7.5245612262853596</v>
      </c>
      <c r="E238" s="18">
        <v>7.6717612839004756</v>
      </c>
      <c r="F238" s="18">
        <v>-0.14720005761511601</v>
      </c>
      <c r="G238" s="18">
        <v>-0.28768749624381801</v>
      </c>
      <c r="H238" s="18">
        <v>0.13108173805715681</v>
      </c>
      <c r="I238" s="18">
        <v>7.4127420421451315</v>
      </c>
      <c r="J238" s="18">
        <v>7.9307805256558197</v>
      </c>
      <c r="K238" s="18">
        <v>0.528190345498459</v>
      </c>
      <c r="L238" s="18">
        <v>6.6280502008673157</v>
      </c>
      <c r="M238" s="18">
        <v>8.7154723669336356</v>
      </c>
    </row>
    <row r="239" spans="2:13" x14ac:dyDescent="0.15">
      <c r="B239" s="9" t="s">
        <v>358</v>
      </c>
      <c r="C239" s="15">
        <v>1</v>
      </c>
      <c r="D239" s="18">
        <v>7.5120712458354664</v>
      </c>
      <c r="E239" s="18">
        <v>7.5785944895650372</v>
      </c>
      <c r="F239" s="18">
        <v>-6.6523243729570858E-2</v>
      </c>
      <c r="G239" s="18">
        <v>-0.13001289361324428</v>
      </c>
      <c r="H239" s="18">
        <v>9.9035098498565968E-2</v>
      </c>
      <c r="I239" s="18">
        <v>7.3828998298781245</v>
      </c>
      <c r="J239" s="18">
        <v>7.7742891492519499</v>
      </c>
      <c r="K239" s="18">
        <v>0.52116270948746624</v>
      </c>
      <c r="L239" s="18">
        <v>6.5487701078976022</v>
      </c>
      <c r="M239" s="18">
        <v>8.6084188712324732</v>
      </c>
    </row>
    <row r="240" spans="2:13" x14ac:dyDescent="0.15">
      <c r="B240" s="9" t="s">
        <v>359</v>
      </c>
      <c r="C240" s="15">
        <v>1</v>
      </c>
      <c r="D240" s="18">
        <v>7.4764723811639051</v>
      </c>
      <c r="E240" s="18">
        <v>7.809172387944515</v>
      </c>
      <c r="F240" s="18">
        <v>-0.33270000678060985</v>
      </c>
      <c r="G240" s="18">
        <v>-0.6502282234241874</v>
      </c>
      <c r="H240" s="18">
        <v>9.0977920855149566E-2</v>
      </c>
      <c r="I240" s="18">
        <v>7.629398817455975</v>
      </c>
      <c r="J240" s="18">
        <v>7.9889459584330549</v>
      </c>
      <c r="K240" s="18">
        <v>0.51969183282867004</v>
      </c>
      <c r="L240" s="18">
        <v>6.7822544779376166</v>
      </c>
      <c r="M240" s="18">
        <v>8.8360902979514133</v>
      </c>
    </row>
    <row r="241" spans="2:13" x14ac:dyDescent="0.15">
      <c r="B241" s="9" t="s">
        <v>360</v>
      </c>
      <c r="C241" s="15">
        <v>1</v>
      </c>
      <c r="D241" s="18">
        <v>8.7646780741166062</v>
      </c>
      <c r="E241" s="18">
        <v>8.0281600427513542</v>
      </c>
      <c r="F241" s="18">
        <v>0.73651803136525196</v>
      </c>
      <c r="G241" s="18">
        <v>1.4394493576620475</v>
      </c>
      <c r="H241" s="18">
        <v>8.8796979124354414E-2</v>
      </c>
      <c r="I241" s="18">
        <v>7.8526960418626386</v>
      </c>
      <c r="J241" s="18">
        <v>8.2036240436400707</v>
      </c>
      <c r="K241" s="18">
        <v>0.51931447363549144</v>
      </c>
      <c r="L241" s="18">
        <v>7.0019877994828992</v>
      </c>
      <c r="M241" s="18">
        <v>9.0543322860198092</v>
      </c>
    </row>
    <row r="242" spans="2:13" x14ac:dyDescent="0.15">
      <c r="B242" s="9" t="s">
        <v>361</v>
      </c>
      <c r="C242" s="15">
        <v>1</v>
      </c>
      <c r="D242" s="18">
        <v>9.6019093748922355</v>
      </c>
      <c r="E242" s="18">
        <v>8.0709603146427078</v>
      </c>
      <c r="F242" s="18">
        <v>1.5309490602495277</v>
      </c>
      <c r="G242" s="18">
        <v>2.9920837610785305</v>
      </c>
      <c r="H242" s="18">
        <v>8.0199068620277161E-2</v>
      </c>
      <c r="I242" s="18">
        <v>7.9124858982106403</v>
      </c>
      <c r="J242" s="18">
        <v>8.2294347310747753</v>
      </c>
      <c r="K242" s="18">
        <v>0.51791361213358389</v>
      </c>
      <c r="L242" s="18">
        <v>7.0475561921621388</v>
      </c>
      <c r="M242" s="18">
        <v>9.0943644371232768</v>
      </c>
    </row>
    <row r="243" spans="2:13" x14ac:dyDescent="0.15">
      <c r="B243" s="9" t="s">
        <v>362</v>
      </c>
      <c r="C243" s="15">
        <v>1</v>
      </c>
      <c r="D243" s="18">
        <v>9.3041949474478063</v>
      </c>
      <c r="E243" s="18">
        <v>8.0913693430674325</v>
      </c>
      <c r="F243" s="18">
        <v>1.2128256043803738</v>
      </c>
      <c r="G243" s="18">
        <v>2.3703439194085947</v>
      </c>
      <c r="H243" s="18">
        <v>9.8970204444068899E-2</v>
      </c>
      <c r="I243" s="18">
        <v>7.8958029148873594</v>
      </c>
      <c r="J243" s="18">
        <v>8.2869357712475065</v>
      </c>
      <c r="K243" s="18">
        <v>0.52115038174542028</v>
      </c>
      <c r="L243" s="18">
        <v>7.0615693211807313</v>
      </c>
      <c r="M243" s="18">
        <v>9.1211693649541346</v>
      </c>
    </row>
    <row r="244" spans="2:13" x14ac:dyDescent="0.15">
      <c r="B244" s="9" t="s">
        <v>363</v>
      </c>
      <c r="C244" s="15">
        <v>1</v>
      </c>
      <c r="D244" s="18">
        <v>7.6167758086983728</v>
      </c>
      <c r="E244" s="18">
        <v>7.4663228865271378</v>
      </c>
      <c r="F244" s="18">
        <v>0.15045292217123496</v>
      </c>
      <c r="G244" s="18">
        <v>0.29404488818327618</v>
      </c>
      <c r="H244" s="18">
        <v>0.11043348448205131</v>
      </c>
      <c r="I244" s="18">
        <v>7.2481048659324703</v>
      </c>
      <c r="J244" s="18">
        <v>7.6845409071218054</v>
      </c>
      <c r="K244" s="18">
        <v>0.5234483484743685</v>
      </c>
      <c r="L244" s="18">
        <v>6.4319820521021436</v>
      </c>
      <c r="M244" s="18">
        <v>8.5006637209521312</v>
      </c>
    </row>
    <row r="245" spans="2:13" x14ac:dyDescent="0.15">
      <c r="B245" s="9" t="s">
        <v>364</v>
      </c>
      <c r="C245" s="15">
        <v>1</v>
      </c>
      <c r="D245" s="18">
        <v>7.1724245771248452</v>
      </c>
      <c r="E245" s="18">
        <v>7.6074601883849136</v>
      </c>
      <c r="F245" s="18">
        <v>-0.4350356112600684</v>
      </c>
      <c r="G245" s="18">
        <v>-0.85023272278567275</v>
      </c>
      <c r="H245" s="18">
        <v>0.11580435977253158</v>
      </c>
      <c r="I245" s="18">
        <v>7.3786292474405313</v>
      </c>
      <c r="J245" s="18">
        <v>7.8362911293292958</v>
      </c>
      <c r="K245" s="18">
        <v>0.52460772846768311</v>
      </c>
      <c r="L245" s="18">
        <v>6.570828403815181</v>
      </c>
      <c r="M245" s="18">
        <v>8.6440919729546462</v>
      </c>
    </row>
    <row r="246" spans="2:13" x14ac:dyDescent="0.15">
      <c r="B246" s="9" t="s">
        <v>365</v>
      </c>
      <c r="C246" s="15">
        <v>1</v>
      </c>
      <c r="D246" s="18">
        <v>7.4764723811639051</v>
      </c>
      <c r="E246" s="18">
        <v>7.5427146980334969</v>
      </c>
      <c r="F246" s="18">
        <v>-6.6242316869591811E-2</v>
      </c>
      <c r="G246" s="18">
        <v>-0.12946385072369374</v>
      </c>
      <c r="H246" s="18">
        <v>0.12409884913175533</v>
      </c>
      <c r="I246" s="18">
        <v>7.2974937368130863</v>
      </c>
      <c r="J246" s="18">
        <v>7.7879356592539075</v>
      </c>
      <c r="K246" s="18">
        <v>0.52650084841481748</v>
      </c>
      <c r="L246" s="18">
        <v>6.5023420835012802</v>
      </c>
      <c r="M246" s="18">
        <v>8.5830873125657128</v>
      </c>
    </row>
    <row r="247" spans="2:13" x14ac:dyDescent="0.15">
      <c r="B247" s="9" t="s">
        <v>366</v>
      </c>
      <c r="C247" s="15">
        <v>1</v>
      </c>
      <c r="D247" s="18">
        <v>7.2327331361776146</v>
      </c>
      <c r="E247" s="18">
        <v>7.9230363971651547</v>
      </c>
      <c r="F247" s="18">
        <v>-0.69030326098754013</v>
      </c>
      <c r="G247" s="18">
        <v>-1.3491273034804494</v>
      </c>
      <c r="H247" s="18">
        <v>9.7341374912517861E-2</v>
      </c>
      <c r="I247" s="18">
        <v>7.7306885576036359</v>
      </c>
      <c r="J247" s="18">
        <v>8.1153842367266744</v>
      </c>
      <c r="K247" s="18">
        <v>0.5208435103709711</v>
      </c>
      <c r="L247" s="18">
        <v>6.8938427571582208</v>
      </c>
      <c r="M247" s="18">
        <v>8.9522300371720895</v>
      </c>
    </row>
    <row r="248" spans="2:13" x14ac:dyDescent="0.15">
      <c r="B248" s="9" t="s">
        <v>367</v>
      </c>
      <c r="C248" s="15">
        <v>1</v>
      </c>
      <c r="D248" s="18">
        <v>9.0031931937465721</v>
      </c>
      <c r="E248" s="18">
        <v>8.816550983865092</v>
      </c>
      <c r="F248" s="18">
        <v>0.18664220988148017</v>
      </c>
      <c r="G248" s="18">
        <v>0.36477315922396963</v>
      </c>
      <c r="H248" s="18">
        <v>0.14662521618001506</v>
      </c>
      <c r="I248" s="18">
        <v>8.5268176245118568</v>
      </c>
      <c r="J248" s="18">
        <v>9.1062843432183271</v>
      </c>
      <c r="K248" s="18">
        <v>0.53226081299071093</v>
      </c>
      <c r="L248" s="18">
        <v>7.7647966034278868</v>
      </c>
      <c r="M248" s="18">
        <v>9.868305364302298</v>
      </c>
    </row>
    <row r="249" spans="2:13" x14ac:dyDescent="0.15">
      <c r="B249" s="9" t="s">
        <v>368</v>
      </c>
      <c r="C249" s="15">
        <v>1</v>
      </c>
      <c r="D249" s="18">
        <v>10.073652179059451</v>
      </c>
      <c r="E249" s="18">
        <v>9.7571978769596139</v>
      </c>
      <c r="F249" s="18">
        <v>0.31645430209983694</v>
      </c>
      <c r="G249" s="18">
        <v>0.61847765090370432</v>
      </c>
      <c r="H249" s="18">
        <v>0.12439667362946823</v>
      </c>
      <c r="I249" s="18">
        <v>9.5113884106070845</v>
      </c>
      <c r="J249" s="18">
        <v>10.003007343312143</v>
      </c>
      <c r="K249" s="18">
        <v>0.52657112666359984</v>
      </c>
      <c r="L249" s="18">
        <v>8.7166863916816979</v>
      </c>
      <c r="M249" s="18">
        <v>10.79770936223753</v>
      </c>
    </row>
    <row r="250" spans="2:13" x14ac:dyDescent="0.15">
      <c r="B250" s="9" t="s">
        <v>369</v>
      </c>
      <c r="C250" s="15">
        <v>1</v>
      </c>
      <c r="D250" s="18">
        <v>9.6779661764359535</v>
      </c>
      <c r="E250" s="18">
        <v>9.7895865774148714</v>
      </c>
      <c r="F250" s="18">
        <v>-0.1116204009789179</v>
      </c>
      <c r="G250" s="18">
        <v>-0.2181506869468666</v>
      </c>
      <c r="H250" s="18">
        <v>0.1227432124018428</v>
      </c>
      <c r="I250" s="18">
        <v>9.5470443722369271</v>
      </c>
      <c r="J250" s="18">
        <v>10.032128782592816</v>
      </c>
      <c r="K250" s="18">
        <v>0.52618296743283166</v>
      </c>
      <c r="L250" s="18">
        <v>8.7498420998919961</v>
      </c>
      <c r="M250" s="18">
        <v>10.829331054937747</v>
      </c>
    </row>
    <row r="251" spans="2:13" x14ac:dyDescent="0.15">
      <c r="B251" s="9" t="s">
        <v>370</v>
      </c>
      <c r="C251" s="15">
        <v>1</v>
      </c>
      <c r="D251" s="18">
        <v>7.2923371761738771</v>
      </c>
      <c r="E251" s="18">
        <v>7.6360512566946479</v>
      </c>
      <c r="F251" s="18">
        <v>-0.34371408052077079</v>
      </c>
      <c r="G251" s="18">
        <v>-0.67175410696722693</v>
      </c>
      <c r="H251" s="18">
        <v>0.16225958524047182</v>
      </c>
      <c r="I251" s="18">
        <v>7.3154241780530933</v>
      </c>
      <c r="J251" s="18">
        <v>7.9566783353362025</v>
      </c>
      <c r="K251" s="18">
        <v>0.53677815904534198</v>
      </c>
      <c r="L251" s="18">
        <v>6.5753705409253094</v>
      </c>
      <c r="M251" s="18">
        <v>8.6967319724639864</v>
      </c>
    </row>
    <row r="252" spans="2:13" x14ac:dyDescent="0.15">
      <c r="B252" s="9" t="s">
        <v>371</v>
      </c>
      <c r="C252" s="15">
        <v>1</v>
      </c>
      <c r="D252" s="18">
        <v>10.004824986442046</v>
      </c>
      <c r="E252" s="18">
        <v>10.034884610662766</v>
      </c>
      <c r="F252" s="18">
        <v>-3.0059624220720949E-2</v>
      </c>
      <c r="G252" s="18">
        <v>-5.8748469057672406E-2</v>
      </c>
      <c r="H252" s="18">
        <v>0.14089318318753924</v>
      </c>
      <c r="I252" s="18">
        <v>9.7564778240376118</v>
      </c>
      <c r="J252" s="18">
        <v>10.313291397287921</v>
      </c>
      <c r="K252" s="18">
        <v>0.5307103806167861</v>
      </c>
      <c r="L252" s="18">
        <v>8.9861939050275534</v>
      </c>
      <c r="M252" s="18">
        <v>11.08357531629798</v>
      </c>
    </row>
    <row r="253" spans="2:13" x14ac:dyDescent="0.15">
      <c r="B253" s="9" t="s">
        <v>372</v>
      </c>
      <c r="C253" s="15">
        <v>1</v>
      </c>
      <c r="D253" s="18">
        <v>7.818430272070656</v>
      </c>
      <c r="E253" s="18">
        <v>7.9790703607990716</v>
      </c>
      <c r="F253" s="18">
        <v>-0.16064008872841562</v>
      </c>
      <c r="G253" s="18">
        <v>-0.31395466599271843</v>
      </c>
      <c r="H253" s="18">
        <v>0.1327420058406584</v>
      </c>
      <c r="I253" s="18">
        <v>7.7167704080250354</v>
      </c>
      <c r="J253" s="18">
        <v>8.2413703135731069</v>
      </c>
      <c r="K253" s="18">
        <v>0.52860482322837143</v>
      </c>
      <c r="L253" s="18">
        <v>6.9345402643097458</v>
      </c>
      <c r="M253" s="18">
        <v>9.0236004572883974</v>
      </c>
    </row>
    <row r="254" spans="2:13" x14ac:dyDescent="0.15">
      <c r="B254" s="9" t="s">
        <v>373</v>
      </c>
      <c r="C254" s="15">
        <v>1</v>
      </c>
      <c r="D254" s="18">
        <v>8.8443363327489326</v>
      </c>
      <c r="E254" s="18">
        <v>9.1146720039715401</v>
      </c>
      <c r="F254" s="18">
        <v>-0.27033567122260749</v>
      </c>
      <c r="G254" s="18">
        <v>-0.52834349156829041</v>
      </c>
      <c r="H254" s="18">
        <v>0.12991753354438881</v>
      </c>
      <c r="I254" s="18">
        <v>8.8579532456749508</v>
      </c>
      <c r="J254" s="18">
        <v>9.3713907622681294</v>
      </c>
      <c r="K254" s="18">
        <v>0.52790262790400455</v>
      </c>
      <c r="L254" s="18">
        <v>8.071529454696476</v>
      </c>
      <c r="M254" s="18">
        <v>10.157814553246604</v>
      </c>
    </row>
    <row r="255" spans="2:13" x14ac:dyDescent="0.15">
      <c r="B255" s="9" t="s">
        <v>374</v>
      </c>
      <c r="C255" s="15">
        <v>1</v>
      </c>
      <c r="D255" s="18">
        <v>7.6563371664301831</v>
      </c>
      <c r="E255" s="18">
        <v>7.8065717886003538</v>
      </c>
      <c r="F255" s="18">
        <v>-0.1502346221701707</v>
      </c>
      <c r="G255" s="18">
        <v>-0.2936182431007015</v>
      </c>
      <c r="H255" s="18">
        <v>9.6420859625250752E-2</v>
      </c>
      <c r="I255" s="18">
        <v>7.6160428993767386</v>
      </c>
      <c r="J255" s="18">
        <v>7.9971006778239691</v>
      </c>
      <c r="K255" s="18">
        <v>0.52067225890820112</v>
      </c>
      <c r="L255" s="18">
        <v>6.777716543740552</v>
      </c>
      <c r="M255" s="18">
        <v>8.8354270334601566</v>
      </c>
    </row>
    <row r="256" spans="2:13" x14ac:dyDescent="0.15">
      <c r="B256" s="9" t="s">
        <v>375</v>
      </c>
      <c r="C256" s="15">
        <v>1</v>
      </c>
      <c r="D256" s="18">
        <v>7.4667994750186022</v>
      </c>
      <c r="E256" s="18">
        <v>7.6155856826991881</v>
      </c>
      <c r="F256" s="18">
        <v>-0.14878620768058592</v>
      </c>
      <c r="G256" s="18">
        <v>-0.29078746473836259</v>
      </c>
      <c r="H256" s="18">
        <v>0.11832980657161989</v>
      </c>
      <c r="I256" s="18">
        <v>7.3817644256002541</v>
      </c>
      <c r="J256" s="18">
        <v>7.8494069397981221</v>
      </c>
      <c r="K256" s="18">
        <v>0.52517098372717952</v>
      </c>
      <c r="L256" s="18">
        <v>6.5778408983142871</v>
      </c>
      <c r="M256" s="18">
        <v>8.6533304670840892</v>
      </c>
    </row>
    <row r="257" spans="2:13" x14ac:dyDescent="0.15">
      <c r="B257" s="9" t="s">
        <v>376</v>
      </c>
      <c r="C257" s="15">
        <v>1</v>
      </c>
      <c r="D257" s="18">
        <v>7.3105501585344221</v>
      </c>
      <c r="E257" s="18">
        <v>7.6482304456134891</v>
      </c>
      <c r="F257" s="18">
        <v>-0.33768028707906694</v>
      </c>
      <c r="G257" s="18">
        <v>-0.65996167321265009</v>
      </c>
      <c r="H257" s="18">
        <v>9.1618793851124605E-2</v>
      </c>
      <c r="I257" s="18">
        <v>7.4671905016396778</v>
      </c>
      <c r="J257" s="18">
        <v>7.8292703895873004</v>
      </c>
      <c r="K257" s="18">
        <v>0.51980440784244153</v>
      </c>
      <c r="L257" s="18">
        <v>6.6210900858958999</v>
      </c>
      <c r="M257" s="18">
        <v>8.6753708053310792</v>
      </c>
    </row>
    <row r="258" spans="2:13" x14ac:dyDescent="0.15">
      <c r="B258" s="9" t="s">
        <v>377</v>
      </c>
      <c r="C258" s="15">
        <v>1</v>
      </c>
      <c r="D258" s="18">
        <v>7.4259536570775406</v>
      </c>
      <c r="E258" s="18">
        <v>7.7565188543558818</v>
      </c>
      <c r="F258" s="18">
        <v>-0.33056519727834122</v>
      </c>
      <c r="G258" s="18">
        <v>-0.64605595603098431</v>
      </c>
      <c r="H258" s="18">
        <v>8.6860316582976591E-2</v>
      </c>
      <c r="I258" s="18">
        <v>7.5848817241696658</v>
      </c>
      <c r="J258" s="18">
        <v>7.9281559845420979</v>
      </c>
      <c r="K258" s="18">
        <v>0.51898683376612875</v>
      </c>
      <c r="L258" s="18">
        <v>6.7309940317868238</v>
      </c>
      <c r="M258" s="18">
        <v>8.7820436769249408</v>
      </c>
    </row>
    <row r="259" spans="2:13" x14ac:dyDescent="0.15">
      <c r="B259" s="9" t="s">
        <v>378</v>
      </c>
      <c r="C259" s="15">
        <v>1</v>
      </c>
      <c r="D259" s="18">
        <v>8.854379458771108</v>
      </c>
      <c r="E259" s="18">
        <v>8.9996993290113423</v>
      </c>
      <c r="F259" s="18">
        <v>-0.14531987024023429</v>
      </c>
      <c r="G259" s="18">
        <v>-0.28401286182374685</v>
      </c>
      <c r="H259" s="18">
        <v>0.10338848775575966</v>
      </c>
      <c r="I259" s="18">
        <v>8.7954023147846048</v>
      </c>
      <c r="J259" s="18">
        <v>9.2039963432380798</v>
      </c>
      <c r="K259" s="18">
        <v>0.52200746970337442</v>
      </c>
      <c r="L259" s="18">
        <v>7.9682056900252851</v>
      </c>
      <c r="M259" s="18">
        <v>10.031192967997399</v>
      </c>
    </row>
    <row r="260" spans="2:13" x14ac:dyDescent="0.15">
      <c r="B260" s="9" t="s">
        <v>379</v>
      </c>
      <c r="C260" s="15">
        <v>1</v>
      </c>
      <c r="D260" s="18">
        <v>7.6657534318616989</v>
      </c>
      <c r="E260" s="18">
        <v>7.9651546634515702</v>
      </c>
      <c r="F260" s="18">
        <v>-0.29940123158987131</v>
      </c>
      <c r="G260" s="18">
        <v>-0.5851491642321236</v>
      </c>
      <c r="H260" s="18">
        <v>8.8104605618768733E-2</v>
      </c>
      <c r="I260" s="18">
        <v>7.7910588017337741</v>
      </c>
      <c r="J260" s="18">
        <v>8.1392505251693663</v>
      </c>
      <c r="K260" s="18">
        <v>0.51919653365265761</v>
      </c>
      <c r="L260" s="18">
        <v>6.9392154711433705</v>
      </c>
      <c r="M260" s="18">
        <v>8.9910938557597699</v>
      </c>
    </row>
    <row r="261" spans="2:13" x14ac:dyDescent="0.15">
      <c r="B261" s="9" t="s">
        <v>380</v>
      </c>
      <c r="C261" s="15">
        <v>1</v>
      </c>
      <c r="D261" s="18">
        <v>7.5416830998821114</v>
      </c>
      <c r="E261" s="18">
        <v>7.6956440267428761</v>
      </c>
      <c r="F261" s="18">
        <v>-0.15396092686076468</v>
      </c>
      <c r="G261" s="18">
        <v>-0.3009009254857965</v>
      </c>
      <c r="H261" s="18">
        <v>0.13674898105122454</v>
      </c>
      <c r="I261" s="18">
        <v>7.4254262381500871</v>
      </c>
      <c r="J261" s="18">
        <v>7.9658618153356651</v>
      </c>
      <c r="K261" s="18">
        <v>0.52962524755174256</v>
      </c>
      <c r="L261" s="18">
        <v>6.6490975583437351</v>
      </c>
      <c r="M261" s="18">
        <v>8.7421904951420171</v>
      </c>
    </row>
    <row r="262" spans="2:13" x14ac:dyDescent="0.15">
      <c r="B262" s="9" t="s">
        <v>381</v>
      </c>
      <c r="C262" s="15">
        <v>1</v>
      </c>
      <c r="D262" s="18">
        <v>7.2902928824465967</v>
      </c>
      <c r="E262" s="18">
        <v>7.1757438280431041</v>
      </c>
      <c r="F262" s="18">
        <v>0.11454905440349261</v>
      </c>
      <c r="G262" s="18">
        <v>0.22387444130357184</v>
      </c>
      <c r="H262" s="18">
        <v>0.13877845528842905</v>
      </c>
      <c r="I262" s="18">
        <v>6.9015157716138189</v>
      </c>
      <c r="J262" s="18">
        <v>7.4499718844723892</v>
      </c>
      <c r="K262" s="18">
        <v>0.53015288236313396</v>
      </c>
      <c r="L262" s="18">
        <v>6.1281547463036459</v>
      </c>
      <c r="M262" s="18">
        <v>8.2233329097825631</v>
      </c>
    </row>
    <row r="263" spans="2:13" x14ac:dyDescent="0.15">
      <c r="B263" s="9" t="s">
        <v>382</v>
      </c>
      <c r="C263" s="15">
        <v>1</v>
      </c>
      <c r="D263" s="18">
        <v>7.5913570466985512</v>
      </c>
      <c r="E263" s="18">
        <v>7.3635880991059217</v>
      </c>
      <c r="F263" s="18">
        <v>0.22776894759262944</v>
      </c>
      <c r="G263" s="18">
        <v>0.44515117260581866</v>
      </c>
      <c r="H263" s="18">
        <v>9.3164117676834454E-2</v>
      </c>
      <c r="I263" s="18">
        <v>7.1794945748887109</v>
      </c>
      <c r="J263" s="18">
        <v>7.5476816233231325</v>
      </c>
      <c r="K263" s="18">
        <v>0.52007900539071894</v>
      </c>
      <c r="L263" s="18">
        <v>6.3359051310143748</v>
      </c>
      <c r="M263" s="18">
        <v>8.3912710671974686</v>
      </c>
    </row>
    <row r="264" spans="2:13" x14ac:dyDescent="0.15">
      <c r="B264" s="9" t="s">
        <v>383</v>
      </c>
      <c r="C264" s="15">
        <v>1</v>
      </c>
      <c r="D264" s="18">
        <v>8.4744944368831217</v>
      </c>
      <c r="E264" s="18">
        <v>8.7082565314530953</v>
      </c>
      <c r="F264" s="18">
        <v>-0.23376209456997366</v>
      </c>
      <c r="G264" s="18">
        <v>-0.45686416699228494</v>
      </c>
      <c r="H264" s="18">
        <v>0.13610773204656434</v>
      </c>
      <c r="I264" s="18">
        <v>8.4393058593436958</v>
      </c>
      <c r="J264" s="18">
        <v>8.9772072035624948</v>
      </c>
      <c r="K264" s="18">
        <v>0.52946003980334133</v>
      </c>
      <c r="L264" s="18">
        <v>7.6620365157418515</v>
      </c>
      <c r="M264" s="18">
        <v>9.7544765471643391</v>
      </c>
    </row>
    <row r="265" spans="2:13" x14ac:dyDescent="0.15">
      <c r="B265" s="9" t="s">
        <v>384</v>
      </c>
      <c r="C265" s="15">
        <v>1</v>
      </c>
      <c r="D265" s="18">
        <v>7.6690282885896828</v>
      </c>
      <c r="E265" s="18">
        <v>7.8007993242951672</v>
      </c>
      <c r="F265" s="18">
        <v>-0.13177103570548443</v>
      </c>
      <c r="G265" s="18">
        <v>-0.25753304688701889</v>
      </c>
      <c r="H265" s="18">
        <v>0.13554500279019355</v>
      </c>
      <c r="I265" s="18">
        <v>7.5329606126118271</v>
      </c>
      <c r="J265" s="18">
        <v>8.0686380359785073</v>
      </c>
      <c r="K265" s="18">
        <v>0.52931565894756039</v>
      </c>
      <c r="L265" s="18">
        <v>6.7548646070575522</v>
      </c>
      <c r="M265" s="18">
        <v>8.8467340415327822</v>
      </c>
    </row>
    <row r="266" spans="2:13" x14ac:dyDescent="0.15">
      <c r="B266" s="9" t="s">
        <v>385</v>
      </c>
      <c r="C266" s="15">
        <v>1</v>
      </c>
      <c r="D266" s="18">
        <v>9.6118643908510855</v>
      </c>
      <c r="E266" s="18">
        <v>10.070979944369871</v>
      </c>
      <c r="F266" s="18">
        <v>-0.45911555351878519</v>
      </c>
      <c r="G266" s="18">
        <v>-0.89729451345575029</v>
      </c>
      <c r="H266" s="18">
        <v>0.12748487482974716</v>
      </c>
      <c r="I266" s="18">
        <v>9.8190681517502334</v>
      </c>
      <c r="J266" s="18">
        <v>10.322891736989508</v>
      </c>
      <c r="K266" s="18">
        <v>0.52730921889917004</v>
      </c>
      <c r="L266" s="18">
        <v>9.0290099791081175</v>
      </c>
      <c r="M266" s="18">
        <v>11.112949909631624</v>
      </c>
    </row>
    <row r="267" spans="2:13" x14ac:dyDescent="0.15">
      <c r="B267" s="9" t="s">
        <v>386</v>
      </c>
      <c r="C267" s="15">
        <v>1</v>
      </c>
      <c r="D267" s="18">
        <v>8.4471998195957028</v>
      </c>
      <c r="E267" s="18">
        <v>8.444034529841149</v>
      </c>
      <c r="F267" s="18">
        <v>3.1652897545537684E-3</v>
      </c>
      <c r="G267" s="18">
        <v>6.1862359235943095E-3</v>
      </c>
      <c r="H267" s="18">
        <v>0.1210870977478756</v>
      </c>
      <c r="I267" s="18">
        <v>8.2047648290432083</v>
      </c>
      <c r="J267" s="18">
        <v>8.6833042306390897</v>
      </c>
      <c r="K267" s="18">
        <v>0.52579911018058989</v>
      </c>
      <c r="L267" s="18">
        <v>7.4050485593070547</v>
      </c>
      <c r="M267" s="18">
        <v>9.4830205003752432</v>
      </c>
    </row>
    <row r="268" spans="2:13" x14ac:dyDescent="0.15">
      <c r="B268" s="9" t="s">
        <v>387</v>
      </c>
      <c r="C268" s="15">
        <v>1</v>
      </c>
      <c r="D268" s="18">
        <v>9.0207524791901825</v>
      </c>
      <c r="E268" s="18">
        <v>9.4059965577817923</v>
      </c>
      <c r="F268" s="18">
        <v>-0.38524407859160981</v>
      </c>
      <c r="G268" s="18">
        <v>-0.75292025158416598</v>
      </c>
      <c r="H268" s="18">
        <v>0.10624469949823778</v>
      </c>
      <c r="I268" s="18">
        <v>9.1960556315136461</v>
      </c>
      <c r="J268" s="18">
        <v>9.6159374840499385</v>
      </c>
      <c r="K268" s="18">
        <v>0.52258066860262564</v>
      </c>
      <c r="L268" s="18">
        <v>8.3733702702173787</v>
      </c>
      <c r="M268" s="18">
        <v>10.438622845346206</v>
      </c>
    </row>
    <row r="269" spans="2:13" x14ac:dyDescent="0.15">
      <c r="B269" s="9" t="s">
        <v>388</v>
      </c>
      <c r="C269" s="15">
        <v>1</v>
      </c>
      <c r="D269" s="18">
        <v>10.097943521986084</v>
      </c>
      <c r="E269" s="18">
        <v>9.8801928494720315</v>
      </c>
      <c r="F269" s="18">
        <v>0.21775067251405211</v>
      </c>
      <c r="G269" s="18">
        <v>0.42557147596212808</v>
      </c>
      <c r="H269" s="18">
        <v>0.14315774282775298</v>
      </c>
      <c r="I269" s="18">
        <v>9.5973112631561524</v>
      </c>
      <c r="J269" s="18">
        <v>10.163074435787911</v>
      </c>
      <c r="K269" s="18">
        <v>0.53131606258161768</v>
      </c>
      <c r="L269" s="18">
        <v>8.8303053082928216</v>
      </c>
      <c r="M269" s="18">
        <v>10.930080390651241</v>
      </c>
    </row>
    <row r="270" spans="2:13" ht="14" thickBot="1" x14ac:dyDescent="0.2">
      <c r="B270" s="13" t="s">
        <v>389</v>
      </c>
      <c r="C270" s="16">
        <v>1</v>
      </c>
      <c r="D270" s="19">
        <v>9.84934810643548</v>
      </c>
      <c r="E270" s="19">
        <v>9.705037746479185</v>
      </c>
      <c r="F270" s="19">
        <v>0.14431035995629493</v>
      </c>
      <c r="G270" s="19">
        <v>0.28203987695727167</v>
      </c>
      <c r="H270" s="19">
        <v>0.12362368470877147</v>
      </c>
      <c r="I270" s="19">
        <v>9.4607557164201594</v>
      </c>
      <c r="J270" s="19">
        <v>9.9493197765382106</v>
      </c>
      <c r="K270" s="19">
        <v>0.52638905236210054</v>
      </c>
      <c r="L270" s="19">
        <v>8.6648860424203509</v>
      </c>
      <c r="M270" s="19">
        <v>10.745189450538019</v>
      </c>
    </row>
    <row r="292" spans="6:6" x14ac:dyDescent="0.15">
      <c r="F292" t="s">
        <v>230</v>
      </c>
    </row>
    <row r="314" spans="6:6" x14ac:dyDescent="0.15">
      <c r="F314" t="s">
        <v>230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D468581">
              <controlPr defaultSize="0" autoFill="0" autoPict="0" macro="[0]!GoToResultsNew1101202119194771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XLSTAT_20211101_191759_1_HID">
    <tabColor rgb="FF007800"/>
  </sheetPr>
  <dimension ref="A1:H70"/>
  <sheetViews>
    <sheetView workbookViewId="0"/>
  </sheetViews>
  <sheetFormatPr baseColWidth="10" defaultRowHeight="13" x14ac:dyDescent="0.15"/>
  <sheetData>
    <row r="1" spans="1:8" x14ac:dyDescent="0.15">
      <c r="A1">
        <v>1</v>
      </c>
      <c r="C1">
        <f t="shared" ref="C1:C32" si="0">6.51972314206736+(A1-1)*0.091094543367071</f>
        <v>6.5197231420673596</v>
      </c>
      <c r="D1">
        <f t="shared" ref="D1:D32" si="1">0+1*C1-1.01105976937407*(1.00641025641026+(C1-8.14346135526555)^2/73.4010583987975)^0.5</f>
        <v>5.4874862231070125</v>
      </c>
      <c r="E1">
        <v>1</v>
      </c>
      <c r="G1">
        <f t="shared" ref="G1:G32" si="2">5.34351130503631+(E1-1)*0.10814109172984</f>
        <v>5.3435113050363103</v>
      </c>
      <c r="H1">
        <f t="shared" ref="H1:H32" si="3">0+1*G1+1.01105976937407*(1.00641025641026+(G1-8.14346135526555)^2/73.4010583987975)^0.5</f>
        <v>6.4102713088832335</v>
      </c>
    </row>
    <row r="2" spans="1:8" x14ac:dyDescent="0.15">
      <c r="A2">
        <v>2</v>
      </c>
      <c r="C2">
        <f t="shared" si="0"/>
        <v>6.6108176854344309</v>
      </c>
      <c r="D2">
        <f t="shared" si="1"/>
        <v>5.5805222444650155</v>
      </c>
      <c r="E2">
        <v>2</v>
      </c>
      <c r="G2">
        <f t="shared" si="2"/>
        <v>5.4516523967661508</v>
      </c>
      <c r="H2">
        <f t="shared" si="3"/>
        <v>6.5145286787449068</v>
      </c>
    </row>
    <row r="3" spans="1:8" x14ac:dyDescent="0.15">
      <c r="A3">
        <v>3</v>
      </c>
      <c r="C3">
        <f t="shared" si="0"/>
        <v>6.7019122288015014</v>
      </c>
      <c r="D3">
        <f t="shared" si="1"/>
        <v>5.6734495558357763</v>
      </c>
      <c r="E3">
        <v>3</v>
      </c>
      <c r="G3">
        <f t="shared" si="2"/>
        <v>5.5597934884959903</v>
      </c>
      <c r="H3">
        <f t="shared" si="3"/>
        <v>6.6189255905416076</v>
      </c>
    </row>
    <row r="4" spans="1:8" x14ac:dyDescent="0.15">
      <c r="A4">
        <v>4</v>
      </c>
      <c r="C4">
        <f t="shared" si="0"/>
        <v>6.7930067721685727</v>
      </c>
      <c r="D4">
        <f t="shared" si="1"/>
        <v>5.7662675750649086</v>
      </c>
      <c r="E4">
        <v>4</v>
      </c>
      <c r="G4">
        <f t="shared" si="2"/>
        <v>5.6679345802258307</v>
      </c>
      <c r="H4">
        <f t="shared" si="3"/>
        <v>6.7234635292268718</v>
      </c>
    </row>
    <row r="5" spans="1:8" x14ac:dyDescent="0.15">
      <c r="A5">
        <v>5</v>
      </c>
      <c r="C5">
        <f t="shared" si="0"/>
        <v>6.8841013155356432</v>
      </c>
      <c r="D5">
        <f t="shared" si="1"/>
        <v>5.8589757509152989</v>
      </c>
      <c r="E5">
        <v>5</v>
      </c>
      <c r="G5">
        <f t="shared" si="2"/>
        <v>5.7760756719556703</v>
      </c>
      <c r="H5">
        <f t="shared" si="3"/>
        <v>6.8281439437802725</v>
      </c>
    </row>
    <row r="6" spans="1:8" x14ac:dyDescent="0.15">
      <c r="A6">
        <v>6</v>
      </c>
      <c r="C6">
        <f t="shared" si="0"/>
        <v>6.9751958589027145</v>
      </c>
      <c r="D6">
        <f t="shared" si="1"/>
        <v>5.9515735639173464</v>
      </c>
      <c r="E6">
        <v>6</v>
      </c>
      <c r="G6">
        <f t="shared" si="2"/>
        <v>5.8842167636855107</v>
      </c>
      <c r="H6">
        <f t="shared" si="3"/>
        <v>6.9329682446312386</v>
      </c>
    </row>
    <row r="7" spans="1:8" x14ac:dyDescent="0.15">
      <c r="A7">
        <v>7</v>
      </c>
      <c r="C7">
        <f t="shared" si="0"/>
        <v>7.0662904022697859</v>
      </c>
      <c r="D7">
        <f t="shared" si="1"/>
        <v>6.0440605271791208</v>
      </c>
      <c r="E7">
        <v>7</v>
      </c>
      <c r="G7">
        <f t="shared" si="2"/>
        <v>5.9923578554153503</v>
      </c>
      <c r="H7">
        <f t="shared" si="3"/>
        <v>7.0379378010899032</v>
      </c>
    </row>
    <row r="8" spans="1:8" x14ac:dyDescent="0.15">
      <c r="A8">
        <v>8</v>
      </c>
      <c r="C8">
        <f t="shared" si="0"/>
        <v>7.1573849456368563</v>
      </c>
      <c r="D8">
        <f t="shared" si="1"/>
        <v>6.1364361871536159</v>
      </c>
      <c r="E8">
        <v>8</v>
      </c>
      <c r="G8">
        <f t="shared" si="2"/>
        <v>6.1004989471451907</v>
      </c>
      <c r="H8">
        <f t="shared" si="3"/>
        <v>7.1430539387944716</v>
      </c>
    </row>
    <row r="9" spans="1:8" x14ac:dyDescent="0.15">
      <c r="A9">
        <v>9</v>
      </c>
      <c r="C9">
        <f t="shared" si="0"/>
        <v>7.2484794890039277</v>
      </c>
      <c r="D9">
        <f t="shared" si="1"/>
        <v>6.2287001243603326</v>
      </c>
      <c r="E9">
        <v>9</v>
      </c>
      <c r="G9">
        <f t="shared" si="2"/>
        <v>6.2086400388750302</v>
      </c>
      <c r="H9">
        <f t="shared" si="3"/>
        <v>7.2483179371848632</v>
      </c>
    </row>
    <row r="10" spans="1:8" x14ac:dyDescent="0.15">
      <c r="A10">
        <v>10</v>
      </c>
      <c r="C10">
        <f t="shared" si="0"/>
        <v>7.339574032370999</v>
      </c>
      <c r="D10">
        <f t="shared" si="1"/>
        <v>6.3208519540585915</v>
      </c>
      <c r="E10">
        <v>10</v>
      </c>
      <c r="G10">
        <f t="shared" si="2"/>
        <v>6.3167811306048707</v>
      </c>
      <c r="H10">
        <f t="shared" si="3"/>
        <v>7.3537310270126781</v>
      </c>
    </row>
    <row r="11" spans="1:8" x14ac:dyDescent="0.15">
      <c r="A11">
        <v>11</v>
      </c>
      <c r="C11">
        <f t="shared" si="0"/>
        <v>7.4306685757380695</v>
      </c>
      <c r="D11">
        <f t="shared" si="1"/>
        <v>6.412891326870108</v>
      </c>
      <c r="E11">
        <v>11</v>
      </c>
      <c r="G11">
        <f t="shared" si="2"/>
        <v>6.4249222223347102</v>
      </c>
      <c r="H11">
        <f t="shared" si="3"/>
        <v>7.4592943878976961</v>
      </c>
    </row>
    <row r="12" spans="1:8" x14ac:dyDescent="0.15">
      <c r="A12">
        <v>12</v>
      </c>
      <c r="C12">
        <f t="shared" si="0"/>
        <v>7.5217631191051408</v>
      </c>
      <c r="D12">
        <f t="shared" si="1"/>
        <v>6.5048179293485093</v>
      </c>
      <c r="E12">
        <v>12</v>
      </c>
      <c r="G12">
        <f t="shared" si="2"/>
        <v>6.5330633140645507</v>
      </c>
      <c r="H12">
        <f t="shared" si="3"/>
        <v>7.5650091459413256</v>
      </c>
    </row>
    <row r="13" spans="1:8" x14ac:dyDescent="0.15">
      <c r="A13">
        <v>13</v>
      </c>
      <c r="C13">
        <f t="shared" si="0"/>
        <v>7.6128576624722113</v>
      </c>
      <c r="D13">
        <f t="shared" si="1"/>
        <v>6.596631484493658</v>
      </c>
      <c r="E13">
        <v>13</v>
      </c>
      <c r="G13">
        <f t="shared" si="2"/>
        <v>6.6412044057943902</v>
      </c>
      <c r="H13">
        <f t="shared" si="3"/>
        <v>7.6708763714073838</v>
      </c>
    </row>
    <row r="14" spans="1:8" x14ac:dyDescent="0.15">
      <c r="A14">
        <v>14</v>
      </c>
      <c r="C14">
        <f t="shared" si="0"/>
        <v>7.7039522058392826</v>
      </c>
      <c r="D14">
        <f t="shared" si="1"/>
        <v>6.6883317522088559</v>
      </c>
      <c r="E14">
        <v>14</v>
      </c>
      <c r="G14">
        <f t="shared" si="2"/>
        <v>6.7493454975242306</v>
      </c>
      <c r="H14">
        <f t="shared" si="3"/>
        <v>7.7768970764806804</v>
      </c>
    </row>
    <row r="15" spans="1:8" x14ac:dyDescent="0.15">
      <c r="A15">
        <v>15</v>
      </c>
      <c r="C15">
        <f t="shared" si="0"/>
        <v>7.7950467492063531</v>
      </c>
      <c r="D15">
        <f t="shared" si="1"/>
        <v>6.7799185296991418</v>
      </c>
      <c r="E15">
        <v>15</v>
      </c>
      <c r="G15">
        <f t="shared" si="2"/>
        <v>6.8574865892540702</v>
      </c>
      <c r="H15">
        <f t="shared" si="3"/>
        <v>7.8830722131137012</v>
      </c>
    </row>
    <row r="16" spans="1:8" x14ac:dyDescent="0.15">
      <c r="A16">
        <v>16</v>
      </c>
      <c r="C16">
        <f t="shared" si="0"/>
        <v>7.8861412925734244</v>
      </c>
      <c r="D16">
        <f t="shared" si="1"/>
        <v>6.8713916518092022</v>
      </c>
      <c r="E16">
        <v>16</v>
      </c>
      <c r="G16">
        <f t="shared" si="2"/>
        <v>6.9656276809839106</v>
      </c>
      <c r="H16">
        <f t="shared" si="3"/>
        <v>7.9894026709716002</v>
      </c>
    </row>
    <row r="17" spans="1:8" x14ac:dyDescent="0.15">
      <c r="A17">
        <v>17</v>
      </c>
      <c r="C17">
        <f t="shared" si="0"/>
        <v>7.9772358359404958</v>
      </c>
      <c r="D17">
        <f t="shared" si="1"/>
        <v>6.9627509912995382</v>
      </c>
      <c r="E17">
        <v>17</v>
      </c>
      <c r="G17">
        <f t="shared" si="2"/>
        <v>7.0737687727137502</v>
      </c>
      <c r="H17">
        <f t="shared" si="3"/>
        <v>8.09588927548538</v>
      </c>
    </row>
    <row r="18" spans="1:8" x14ac:dyDescent="0.15">
      <c r="A18">
        <v>18</v>
      </c>
      <c r="C18">
        <f t="shared" si="0"/>
        <v>8.0683303793075662</v>
      </c>
      <c r="D18">
        <f t="shared" si="1"/>
        <v>7.0539964590598574</v>
      </c>
      <c r="E18">
        <v>18</v>
      </c>
      <c r="G18">
        <f t="shared" si="2"/>
        <v>7.1819098644435906</v>
      </c>
      <c r="H18">
        <f t="shared" si="3"/>
        <v>8.2025327860228838</v>
      </c>
    </row>
    <row r="19" spans="1:8" x14ac:dyDescent="0.15">
      <c r="A19">
        <v>19</v>
      </c>
      <c r="C19">
        <f t="shared" si="0"/>
        <v>8.1594249226746385</v>
      </c>
      <c r="D19">
        <f t="shared" si="1"/>
        <v>7.1451280042588259</v>
      </c>
      <c r="E19">
        <v>19</v>
      </c>
      <c r="G19">
        <f t="shared" si="2"/>
        <v>7.2900509561734301</v>
      </c>
      <c r="H19">
        <f t="shared" si="3"/>
        <v>8.3093338941867501</v>
      </c>
    </row>
    <row r="20" spans="1:8" x14ac:dyDescent="0.15">
      <c r="A20">
        <v>20</v>
      </c>
      <c r="C20">
        <f t="shared" si="0"/>
        <v>8.2505194660417089</v>
      </c>
      <c r="D20">
        <f t="shared" si="1"/>
        <v>7.2361456144296055</v>
      </c>
      <c r="E20">
        <v>20</v>
      </c>
      <c r="G20">
        <f t="shared" si="2"/>
        <v>7.3981920479032706</v>
      </c>
      <c r="H20">
        <f t="shared" si="3"/>
        <v>8.4162932222480258</v>
      </c>
    </row>
    <row r="21" spans="1:8" x14ac:dyDescent="0.15">
      <c r="A21">
        <v>21</v>
      </c>
      <c r="C21">
        <f t="shared" si="0"/>
        <v>8.3416140094087794</v>
      </c>
      <c r="D21">
        <f t="shared" si="1"/>
        <v>7.3270493154908589</v>
      </c>
      <c r="E21">
        <v>21</v>
      </c>
      <c r="G21">
        <f t="shared" si="2"/>
        <v>7.5063331396331101</v>
      </c>
      <c r="H21">
        <f t="shared" si="3"/>
        <v>8.5234113217235326</v>
      </c>
    </row>
    <row r="22" spans="1:8" x14ac:dyDescent="0.15">
      <c r="A22">
        <v>22</v>
      </c>
      <c r="C22">
        <f t="shared" si="0"/>
        <v>8.4327085527758499</v>
      </c>
      <c r="D22">
        <f t="shared" si="1"/>
        <v>7.4178391717031023</v>
      </c>
      <c r="E22">
        <v>22</v>
      </c>
      <c r="G22">
        <f t="shared" si="2"/>
        <v>7.6144742313629505</v>
      </c>
      <c r="H22">
        <f t="shared" si="3"/>
        <v>8.6306886721044904</v>
      </c>
    </row>
    <row r="23" spans="1:8" x14ac:dyDescent="0.15">
      <c r="A23">
        <v>23</v>
      </c>
      <c r="C23">
        <f t="shared" si="0"/>
        <v>8.5238030961429221</v>
      </c>
      <c r="D23">
        <f t="shared" si="1"/>
        <v>7.5085152855606054</v>
      </c>
      <c r="E23">
        <v>23</v>
      </c>
      <c r="G23">
        <f t="shared" si="2"/>
        <v>7.722615323092791</v>
      </c>
      <c r="H23">
        <f t="shared" si="3"/>
        <v>8.7381256797430868</v>
      </c>
    </row>
    <row r="24" spans="1:8" x14ac:dyDescent="0.15">
      <c r="A24">
        <v>24</v>
      </c>
      <c r="C24">
        <f t="shared" si="0"/>
        <v>8.6148976395099925</v>
      </c>
      <c r="D24">
        <f t="shared" si="1"/>
        <v>7.5990777976192589</v>
      </c>
      <c r="E24">
        <v>24</v>
      </c>
      <c r="G24">
        <f t="shared" si="2"/>
        <v>7.8307564148226305</v>
      </c>
      <c r="H24">
        <f t="shared" si="3"/>
        <v>8.845722676903037</v>
      </c>
    </row>
    <row r="25" spans="1:8" x14ac:dyDescent="0.15">
      <c r="A25">
        <v>25</v>
      </c>
      <c r="C25">
        <f t="shared" si="0"/>
        <v>8.705992182877063</v>
      </c>
      <c r="D25">
        <f t="shared" si="1"/>
        <v>7.6895268862610759</v>
      </c>
      <c r="E25">
        <v>25</v>
      </c>
      <c r="G25">
        <f t="shared" si="2"/>
        <v>7.9388975065524701</v>
      </c>
      <c r="H25">
        <f t="shared" si="3"/>
        <v>8.9534799209792233</v>
      </c>
    </row>
    <row r="26" spans="1:8" x14ac:dyDescent="0.15">
      <c r="A26">
        <v>26</v>
      </c>
      <c r="C26">
        <f t="shared" si="0"/>
        <v>8.7970867262441352</v>
      </c>
      <c r="D26">
        <f t="shared" si="1"/>
        <v>7.7798627673962484</v>
      </c>
      <c r="E26">
        <v>26</v>
      </c>
      <c r="G26">
        <f t="shared" si="2"/>
        <v>8.0470385982823096</v>
      </c>
      <c r="H26">
        <f t="shared" si="3"/>
        <v>9.0613975938906979</v>
      </c>
    </row>
    <row r="27" spans="1:8" x14ac:dyDescent="0.15">
      <c r="A27">
        <v>27</v>
      </c>
      <c r="C27">
        <f t="shared" si="0"/>
        <v>8.8881812696112057</v>
      </c>
      <c r="D27">
        <f t="shared" si="1"/>
        <v>7.8700856941039063</v>
      </c>
      <c r="E27">
        <v>27</v>
      </c>
      <c r="G27">
        <f t="shared" si="2"/>
        <v>8.1551796900121509</v>
      </c>
      <c r="H27">
        <f t="shared" si="3"/>
        <v>9.169475801650357</v>
      </c>
    </row>
    <row r="28" spans="1:8" x14ac:dyDescent="0.15">
      <c r="A28">
        <v>28</v>
      </c>
      <c r="C28">
        <f t="shared" si="0"/>
        <v>8.9792758129782762</v>
      </c>
      <c r="D28">
        <f t="shared" si="1"/>
        <v>7.9601959562129974</v>
      </c>
      <c r="E28">
        <v>28</v>
      </c>
      <c r="G28">
        <f t="shared" si="2"/>
        <v>8.2633207817419905</v>
      </c>
      <c r="H28">
        <f t="shared" si="3"/>
        <v>9.2777145741136717</v>
      </c>
    </row>
    <row r="29" spans="1:8" x14ac:dyDescent="0.15">
      <c r="A29">
        <v>29</v>
      </c>
      <c r="C29">
        <f t="shared" si="0"/>
        <v>9.0703703563453466</v>
      </c>
      <c r="D29">
        <f t="shared" si="1"/>
        <v>8.0501938798248496</v>
      </c>
      <c r="E29">
        <v>29</v>
      </c>
      <c r="G29">
        <f t="shared" si="2"/>
        <v>8.37146187347183</v>
      </c>
      <c r="H29">
        <f t="shared" si="3"/>
        <v>9.3861138649078626</v>
      </c>
    </row>
    <row r="30" spans="1:8" x14ac:dyDescent="0.15">
      <c r="A30">
        <v>30</v>
      </c>
      <c r="C30">
        <f t="shared" si="0"/>
        <v>9.1614648997124188</v>
      </c>
      <c r="D30">
        <f t="shared" si="1"/>
        <v>8.140079826779278</v>
      </c>
      <c r="E30">
        <v>30</v>
      </c>
      <c r="G30">
        <f t="shared" si="2"/>
        <v>8.4796029652016713</v>
      </c>
      <c r="H30">
        <f t="shared" si="3"/>
        <v>9.4946735515419043</v>
      </c>
    </row>
    <row r="31" spans="1:8" x14ac:dyDescent="0.15">
      <c r="A31">
        <v>31</v>
      </c>
      <c r="C31">
        <f t="shared" si="0"/>
        <v>9.2525594430794893</v>
      </c>
      <c r="D31">
        <f t="shared" si="1"/>
        <v>8.2298541940662009</v>
      </c>
      <c r="E31">
        <v>31</v>
      </c>
      <c r="G31">
        <f t="shared" si="2"/>
        <v>8.5877440569315109</v>
      </c>
      <c r="H31">
        <f t="shared" si="3"/>
        <v>9.6033934356967361</v>
      </c>
    </row>
    <row r="32" spans="1:8" x14ac:dyDescent="0.15">
      <c r="A32">
        <v>32</v>
      </c>
      <c r="C32">
        <f t="shared" si="0"/>
        <v>9.3436539864465615</v>
      </c>
      <c r="D32">
        <f t="shared" si="1"/>
        <v>8.3195174131850376</v>
      </c>
      <c r="E32">
        <v>32</v>
      </c>
      <c r="G32">
        <f t="shared" si="2"/>
        <v>8.6958851486613504</v>
      </c>
      <c r="H32">
        <f t="shared" si="3"/>
        <v>9.7122732436941295</v>
      </c>
    </row>
    <row r="33" spans="1:8" x14ac:dyDescent="0.15">
      <c r="A33">
        <v>33</v>
      </c>
      <c r="C33">
        <f t="shared" ref="C33:C64" si="4">6.51972314206736+(A33-1)*0.091094543367071</f>
        <v>9.434748529813632</v>
      </c>
      <c r="D33">
        <f t="shared" ref="D33:D64" si="5">0+1*C33-1.01105976937407*(1.00641025641026+(C33-8.14346135526555)^2/73.4010583987975)^0.5</f>
        <v>8.4090699494541656</v>
      </c>
      <c r="E33">
        <v>33</v>
      </c>
      <c r="G33">
        <f t="shared" ref="G33:G64" si="6">5.34351130503631+(E33-1)*0.10814109172984</f>
        <v>8.80402624039119</v>
      </c>
      <c r="H33">
        <f t="shared" ref="H33:H64" si="7">0+1*G33+1.01105976937407*(1.00641025641026+(G33-8.14346135526555)^2/73.4010583987975)^0.5</f>
        <v>9.8213126271415607</v>
      </c>
    </row>
    <row r="34" spans="1:8" x14ac:dyDescent="0.15">
      <c r="A34">
        <v>34</v>
      </c>
      <c r="C34">
        <f t="shared" si="4"/>
        <v>9.5258430731807024</v>
      </c>
      <c r="D34">
        <f t="shared" si="5"/>
        <v>8.4985123012730384</v>
      </c>
      <c r="E34">
        <v>34</v>
      </c>
      <c r="G34">
        <f t="shared" si="6"/>
        <v>8.9121673321210295</v>
      </c>
      <c r="H34">
        <f t="shared" si="7"/>
        <v>9.9305111637496086</v>
      </c>
    </row>
    <row r="35" spans="1:8" x14ac:dyDescent="0.15">
      <c r="A35">
        <v>35</v>
      </c>
      <c r="C35">
        <f t="shared" si="4"/>
        <v>9.6169376165477729</v>
      </c>
      <c r="D35">
        <f t="shared" si="5"/>
        <v>8.5878449993395787</v>
      </c>
      <c r="E35">
        <v>35</v>
      </c>
      <c r="G35">
        <f t="shared" si="6"/>
        <v>9.0203084238508708</v>
      </c>
      <c r="H35">
        <f t="shared" si="7"/>
        <v>10.039868358317413</v>
      </c>
    </row>
    <row r="36" spans="1:8" x14ac:dyDescent="0.15">
      <c r="A36">
        <v>36</v>
      </c>
      <c r="C36">
        <f t="shared" si="4"/>
        <v>9.7080321599148451</v>
      </c>
      <c r="D36">
        <f t="shared" si="5"/>
        <v>8.6770686058256352</v>
      </c>
      <c r="E36">
        <v>36</v>
      </c>
      <c r="G36">
        <f t="shared" si="6"/>
        <v>9.1284495155807104</v>
      </c>
      <c r="H36">
        <f t="shared" si="7"/>
        <v>10.149383643880842</v>
      </c>
    </row>
    <row r="37" spans="1:8" x14ac:dyDescent="0.15">
      <c r="A37">
        <v>37</v>
      </c>
      <c r="C37">
        <f t="shared" si="4"/>
        <v>9.7991267032819156</v>
      </c>
      <c r="D37">
        <f t="shared" si="5"/>
        <v>8.766183713513394</v>
      </c>
      <c r="E37">
        <v>37</v>
      </c>
      <c r="G37">
        <f t="shared" si="6"/>
        <v>9.2365906073105499</v>
      </c>
      <c r="H37">
        <f t="shared" si="7"/>
        <v>10.259056383017281</v>
      </c>
    </row>
    <row r="38" spans="1:8" x14ac:dyDescent="0.15">
      <c r="A38">
        <v>38</v>
      </c>
      <c r="C38">
        <f t="shared" si="4"/>
        <v>9.8902212466489861</v>
      </c>
      <c r="D38">
        <f t="shared" si="5"/>
        <v>8.8551909448957282</v>
      </c>
      <c r="E38">
        <v>38</v>
      </c>
      <c r="G38">
        <f t="shared" si="6"/>
        <v>9.3447316990403912</v>
      </c>
      <c r="H38">
        <f t="shared" si="7"/>
        <v>10.368885869300064</v>
      </c>
    </row>
    <row r="39" spans="1:8" x14ac:dyDescent="0.15">
      <c r="A39">
        <v>39</v>
      </c>
      <c r="C39">
        <f t="shared" si="4"/>
        <v>9.9813157900160583</v>
      </c>
      <c r="D39">
        <f t="shared" si="5"/>
        <v>8.9440909512434921</v>
      </c>
      <c r="E39">
        <v>39</v>
      </c>
      <c r="G39">
        <f t="shared" si="6"/>
        <v>9.4528727907702308</v>
      </c>
      <c r="H39">
        <f t="shared" si="7"/>
        <v>10.478871328894957</v>
      </c>
    </row>
    <row r="40" spans="1:8" x14ac:dyDescent="0.15">
      <c r="A40">
        <v>40</v>
      </c>
      <c r="C40">
        <f t="shared" si="4"/>
        <v>10.072410333383129</v>
      </c>
      <c r="D40">
        <f t="shared" si="5"/>
        <v>9.0328844116428648</v>
      </c>
      <c r="E40">
        <v>40</v>
      </c>
      <c r="G40">
        <f t="shared" si="6"/>
        <v>9.5610138825000703</v>
      </c>
      <c r="H40">
        <f t="shared" si="7"/>
        <v>10.589011922290499</v>
      </c>
    </row>
    <row r="41" spans="1:8" x14ac:dyDescent="0.15">
      <c r="A41">
        <v>41</v>
      </c>
      <c r="C41">
        <f t="shared" si="4"/>
        <v>10.163504876750199</v>
      </c>
      <c r="D41">
        <f t="shared" si="5"/>
        <v>9.1215720320059024</v>
      </c>
      <c r="E41">
        <v>41</v>
      </c>
      <c r="G41">
        <f t="shared" si="6"/>
        <v>9.6691549742299117</v>
      </c>
      <c r="H41">
        <f t="shared" si="7"/>
        <v>10.699306746153322</v>
      </c>
    </row>
    <row r="42" spans="1:8" x14ac:dyDescent="0.15">
      <c r="A42">
        <v>42</v>
      </c>
      <c r="C42">
        <f t="shared" si="4"/>
        <v>10.25459942011727</v>
      </c>
      <c r="D42">
        <f t="shared" si="5"/>
        <v>9.2101545440573744</v>
      </c>
      <c r="E42">
        <v>42</v>
      </c>
      <c r="G42">
        <f t="shared" si="6"/>
        <v>9.7772960659597494</v>
      </c>
      <c r="H42">
        <f t="shared" si="7"/>
        <v>10.809754835299238</v>
      </c>
    </row>
    <row r="43" spans="1:8" x14ac:dyDescent="0.15">
      <c r="A43">
        <v>43</v>
      </c>
      <c r="C43">
        <f t="shared" si="4"/>
        <v>10.345693963484342</v>
      </c>
      <c r="D43">
        <f t="shared" si="5"/>
        <v>9.2986327043010846</v>
      </c>
      <c r="E43">
        <v>43</v>
      </c>
      <c r="G43">
        <f t="shared" si="6"/>
        <v>9.8854371576895907</v>
      </c>
      <c r="H43">
        <f t="shared" si="7"/>
        <v>10.920355164770424</v>
      </c>
    </row>
    <row r="44" spans="1:8" x14ac:dyDescent="0.15">
      <c r="A44">
        <v>44</v>
      </c>
      <c r="C44">
        <f t="shared" si="4"/>
        <v>10.436788506851412</v>
      </c>
      <c r="D44">
        <f t="shared" si="5"/>
        <v>9.387007292968768</v>
      </c>
      <c r="E44">
        <v>44</v>
      </c>
      <c r="G44">
        <f t="shared" si="6"/>
        <v>9.9935782494194303</v>
      </c>
      <c r="H44">
        <f t="shared" si="7"/>
        <v>11.031106652008685</v>
      </c>
    </row>
    <row r="45" spans="1:8" x14ac:dyDescent="0.15">
      <c r="A45">
        <v>45</v>
      </c>
      <c r="C45">
        <f t="shared" si="4"/>
        <v>10.527883050218485</v>
      </c>
      <c r="D45">
        <f t="shared" si="5"/>
        <v>9.4752791129546914</v>
      </c>
      <c r="E45">
        <v>45</v>
      </c>
      <c r="G45">
        <f t="shared" si="6"/>
        <v>10.10171934114927</v>
      </c>
      <c r="H45">
        <f t="shared" si="7"/>
        <v>11.142008159114619</v>
      </c>
    </row>
    <row r="46" spans="1:8" x14ac:dyDescent="0.15">
      <c r="A46">
        <v>46</v>
      </c>
      <c r="C46">
        <f t="shared" si="4"/>
        <v>10.618977593585555</v>
      </c>
      <c r="D46">
        <f t="shared" si="5"/>
        <v>9.5634489887389655</v>
      </c>
      <c r="E46">
        <v>46</v>
      </c>
      <c r="G46">
        <f t="shared" si="6"/>
        <v>10.209860432879111</v>
      </c>
      <c r="H46">
        <f t="shared" si="7"/>
        <v>11.253058495182319</v>
      </c>
    </row>
    <row r="47" spans="1:8" x14ac:dyDescent="0.15">
      <c r="A47">
        <v>47</v>
      </c>
      <c r="C47">
        <f t="shared" si="4"/>
        <v>10.710072136952625</v>
      </c>
      <c r="D47">
        <f t="shared" si="5"/>
        <v>9.6515177653026054</v>
      </c>
      <c r="E47">
        <v>47</v>
      </c>
      <c r="G47">
        <f t="shared" si="6"/>
        <v>10.318001524608951</v>
      </c>
      <c r="H47">
        <f t="shared" si="7"/>
        <v>11.364256418699144</v>
      </c>
    </row>
    <row r="48" spans="1:8" x14ac:dyDescent="0.15">
      <c r="A48">
        <v>48</v>
      </c>
      <c r="C48">
        <f t="shared" si="4"/>
        <v>10.801166680319696</v>
      </c>
      <c r="D48">
        <f t="shared" si="5"/>
        <v>9.7394863070372377</v>
      </c>
      <c r="E48">
        <v>48</v>
      </c>
      <c r="G48">
        <f t="shared" si="6"/>
        <v>10.42614261633879</v>
      </c>
      <c r="H48">
        <f t="shared" si="7"/>
        <v>11.475600640000186</v>
      </c>
    </row>
    <row r="49" spans="1:8" x14ac:dyDescent="0.15">
      <c r="A49">
        <v>49</v>
      </c>
      <c r="C49">
        <f t="shared" si="4"/>
        <v>10.892261223686766</v>
      </c>
      <c r="D49">
        <f t="shared" si="5"/>
        <v>9.8273554966522916</v>
      </c>
      <c r="E49">
        <v>49</v>
      </c>
      <c r="G49">
        <f t="shared" si="6"/>
        <v>10.534283708068632</v>
      </c>
      <c r="H49">
        <f t="shared" si="7"/>
        <v>11.587089823767041</v>
      </c>
    </row>
    <row r="50" spans="1:8" x14ac:dyDescent="0.15">
      <c r="A50">
        <v>50</v>
      </c>
      <c r="C50">
        <f t="shared" si="4"/>
        <v>10.983355767053839</v>
      </c>
      <c r="D50">
        <f t="shared" si="5"/>
        <v>9.9151262340824395</v>
      </c>
      <c r="E50">
        <v>50</v>
      </c>
      <c r="G50">
        <f t="shared" si="6"/>
        <v>10.642424799798469</v>
      </c>
      <c r="H50">
        <f t="shared" si="7"/>
        <v>11.698722591560696</v>
      </c>
    </row>
    <row r="51" spans="1:8" x14ac:dyDescent="0.15">
      <c r="A51">
        <v>51</v>
      </c>
      <c r="C51">
        <f t="shared" si="4"/>
        <v>11.074450310420909</v>
      </c>
      <c r="D51">
        <f t="shared" si="5"/>
        <v>10.002799435397893</v>
      </c>
      <c r="E51">
        <v>51</v>
      </c>
      <c r="G51">
        <f t="shared" si="6"/>
        <v>10.750565891528311</v>
      </c>
      <c r="H51">
        <f t="shared" si="7"/>
        <v>11.810497524378574</v>
      </c>
    </row>
    <row r="52" spans="1:8" x14ac:dyDescent="0.15">
      <c r="A52">
        <v>52</v>
      </c>
      <c r="C52">
        <f t="shared" si="4"/>
        <v>11.165544853787981</v>
      </c>
      <c r="D52">
        <f t="shared" si="5"/>
        <v>10.090376031720151</v>
      </c>
      <c r="E52">
        <v>52</v>
      </c>
      <c r="G52">
        <f t="shared" si="6"/>
        <v>10.85870698325815</v>
      </c>
      <c r="H52">
        <f t="shared" si="7"/>
        <v>11.922413165225983</v>
      </c>
    </row>
    <row r="53" spans="1:8" x14ac:dyDescent="0.15">
      <c r="A53">
        <v>53</v>
      </c>
      <c r="C53">
        <f t="shared" si="4"/>
        <v>11.256639397155052</v>
      </c>
      <c r="D53">
        <f t="shared" si="5"/>
        <v>10.177856968145527</v>
      </c>
      <c r="E53">
        <v>53</v>
      </c>
      <c r="G53">
        <f t="shared" si="6"/>
        <v>10.96684807498799</v>
      </c>
      <c r="H53">
        <f t="shared" si="7"/>
        <v>12.034468021692636</v>
      </c>
    </row>
    <row r="54" spans="1:8" x14ac:dyDescent="0.15">
      <c r="A54">
        <v>54</v>
      </c>
      <c r="C54">
        <f t="shared" si="4"/>
        <v>11.347733940522122</v>
      </c>
      <c r="D54">
        <f t="shared" si="5"/>
        <v>10.265243202678844</v>
      </c>
      <c r="E54">
        <v>54</v>
      </c>
      <c r="G54">
        <f t="shared" si="6"/>
        <v>11.074989166717831</v>
      </c>
      <c r="H54">
        <f t="shared" si="7"/>
        <v>12.146660568525199</v>
      </c>
    </row>
    <row r="55" spans="1:8" x14ac:dyDescent="0.15">
      <c r="A55">
        <v>55</v>
      </c>
      <c r="C55">
        <f t="shared" si="4"/>
        <v>11.438828483889193</v>
      </c>
      <c r="D55">
        <f t="shared" si="5"/>
        <v>10.35253570517937</v>
      </c>
      <c r="E55">
        <v>55</v>
      </c>
      <c r="G55">
        <f t="shared" si="6"/>
        <v>11.183130258447671</v>
      </c>
      <c r="H55">
        <f t="shared" si="7"/>
        <v>12.258989250187293</v>
      </c>
    </row>
    <row r="56" spans="1:8" x14ac:dyDescent="0.15">
      <c r="A56">
        <v>56</v>
      </c>
      <c r="C56">
        <f t="shared" si="4"/>
        <v>11.529923027256265</v>
      </c>
      <c r="D56">
        <f t="shared" si="5"/>
        <v>10.439735456321078</v>
      </c>
      <c r="E56">
        <v>56</v>
      </c>
      <c r="G56">
        <f t="shared" si="6"/>
        <v>11.29127135017751</v>
      </c>
      <c r="H56">
        <f t="shared" si="7"/>
        <v>12.371452483398839</v>
      </c>
    </row>
    <row r="57" spans="1:8" x14ac:dyDescent="0.15">
      <c r="A57">
        <v>57</v>
      </c>
      <c r="C57">
        <f t="shared" si="4"/>
        <v>11.621017570623335</v>
      </c>
      <c r="D57">
        <f t="shared" si="5"/>
        <v>10.526843446569103</v>
      </c>
      <c r="E57">
        <v>57</v>
      </c>
      <c r="G57">
        <f t="shared" si="6"/>
        <v>11.399412441907351</v>
      </c>
      <c r="H57">
        <f t="shared" si="7"/>
        <v>12.484048659647069</v>
      </c>
    </row>
    <row r="58" spans="1:8" x14ac:dyDescent="0.15">
      <c r="A58">
        <v>58</v>
      </c>
      <c r="C58">
        <f t="shared" si="4"/>
        <v>11.712112113990408</v>
      </c>
      <c r="D58">
        <f t="shared" si="5"/>
        <v>10.613860675174159</v>
      </c>
      <c r="E58">
        <v>58</v>
      </c>
      <c r="G58">
        <f t="shared" si="6"/>
        <v>11.507553533637189</v>
      </c>
      <c r="H58">
        <f t="shared" si="7"/>
        <v>12.59677614766208</v>
      </c>
    </row>
    <row r="59" spans="1:8" x14ac:dyDescent="0.15">
      <c r="A59">
        <v>59</v>
      </c>
      <c r="C59">
        <f t="shared" si="4"/>
        <v>11.803206657357478</v>
      </c>
      <c r="D59">
        <f t="shared" si="5"/>
        <v>10.700788149186508</v>
      </c>
      <c r="E59">
        <v>59</v>
      </c>
      <c r="G59">
        <f t="shared" si="6"/>
        <v>11.615694625367031</v>
      </c>
      <c r="H59">
        <f t="shared" si="7"/>
        <v>12.709633295850344</v>
      </c>
    </row>
    <row r="60" spans="1:8" x14ac:dyDescent="0.15">
      <c r="A60">
        <v>60</v>
      </c>
      <c r="C60">
        <f t="shared" si="4"/>
        <v>11.894301200724549</v>
      </c>
      <c r="D60">
        <f t="shared" si="5"/>
        <v>10.787626882491002</v>
      </c>
      <c r="E60">
        <v>60</v>
      </c>
      <c r="G60">
        <f t="shared" si="6"/>
        <v>11.72383571709687</v>
      </c>
      <c r="H60">
        <f t="shared" si="7"/>
        <v>12.822618434680047</v>
      </c>
    </row>
    <row r="61" spans="1:8" x14ac:dyDescent="0.15">
      <c r="A61">
        <v>61</v>
      </c>
      <c r="C61">
        <f t="shared" si="4"/>
        <v>11.985395744091619</v>
      </c>
      <c r="D61">
        <f t="shared" si="5"/>
        <v>10.874377894864484</v>
      </c>
      <c r="E61">
        <v>61</v>
      </c>
      <c r="G61">
        <f t="shared" si="6"/>
        <v>11.83197680882671</v>
      </c>
      <c r="H61">
        <f t="shared" si="7"/>
        <v>12.935729879012806</v>
      </c>
    </row>
    <row r="62" spans="1:8" x14ac:dyDescent="0.15">
      <c r="A62">
        <v>62</v>
      </c>
      <c r="C62">
        <f t="shared" si="4"/>
        <v>12.076490287458689</v>
      </c>
      <c r="D62">
        <f t="shared" si="5"/>
        <v>10.961042211056778</v>
      </c>
      <c r="E62">
        <v>62</v>
      </c>
      <c r="G62">
        <f t="shared" si="6"/>
        <v>11.940117900556551</v>
      </c>
      <c r="H62">
        <f t="shared" si="7"/>
        <v>13.048965930376728</v>
      </c>
    </row>
    <row r="63" spans="1:8" x14ac:dyDescent="0.15">
      <c r="A63">
        <v>63</v>
      </c>
      <c r="C63">
        <f t="shared" si="4"/>
        <v>12.167584830825762</v>
      </c>
      <c r="D63">
        <f t="shared" si="5"/>
        <v>11.047620859896343</v>
      </c>
      <c r="E63">
        <v>63</v>
      </c>
      <c r="G63">
        <f t="shared" si="6"/>
        <v>12.048258992286391</v>
      </c>
      <c r="H63">
        <f t="shared" si="7"/>
        <v>13.162324879176403</v>
      </c>
    </row>
    <row r="64" spans="1:8" x14ac:dyDescent="0.15">
      <c r="A64">
        <v>64</v>
      </c>
      <c r="C64">
        <f t="shared" si="4"/>
        <v>12.258679374192832</v>
      </c>
      <c r="D64">
        <f t="shared" si="5"/>
        <v>11.134114873421494</v>
      </c>
      <c r="E64">
        <v>64</v>
      </c>
      <c r="G64">
        <f t="shared" si="6"/>
        <v>12.15640008401623</v>
      </c>
      <c r="H64">
        <f t="shared" si="7"/>
        <v>13.275805006835967</v>
      </c>
    </row>
    <row r="65" spans="1:8" x14ac:dyDescent="0.15">
      <c r="A65">
        <v>65</v>
      </c>
      <c r="C65">
        <f t="shared" ref="C65:C70" si="8">6.51972314206736+(A65-1)*0.091094543367071</f>
        <v>12.349773917559904</v>
      </c>
      <c r="D65">
        <f t="shared" ref="D65:D70" si="9">0+1*C65-1.01105976937407*(1.00641025641026+(C65-8.14346135526555)^2/73.4010583987975)^0.5</f>
        <v>11.220525286038033</v>
      </c>
      <c r="E65">
        <v>65</v>
      </c>
      <c r="G65">
        <f t="shared" ref="G65:G70" si="10">5.34351130503631+(E65-1)*0.10814109172984</f>
        <v>12.264541175746071</v>
      </c>
      <c r="H65">
        <f t="shared" ref="H65:H70" si="11">0+1*G65+1.01105976937407*(1.00641025641026+(G65-8.14346135526555)^2/73.4010583987975)^0.5</f>
        <v>13.38940458787182</v>
      </c>
    </row>
    <row r="66" spans="1:8" x14ac:dyDescent="0.15">
      <c r="A66">
        <v>66</v>
      </c>
      <c r="C66">
        <f t="shared" si="8"/>
        <v>12.440868460926975</v>
      </c>
      <c r="D66">
        <f t="shared" si="9"/>
        <v>11.306853133703935</v>
      </c>
      <c r="E66">
        <v>66</v>
      </c>
      <c r="G66">
        <f t="shared" si="10"/>
        <v>12.372682267475911</v>
      </c>
      <c r="H66">
        <f t="shared" si="11"/>
        <v>13.503121891892176</v>
      </c>
    </row>
    <row r="67" spans="1:8" x14ac:dyDescent="0.15">
      <c r="A67">
        <v>67</v>
      </c>
      <c r="C67">
        <f t="shared" si="8"/>
        <v>12.531963004294045</v>
      </c>
      <c r="D67">
        <f t="shared" si="9"/>
        <v>11.393099453141684</v>
      </c>
      <c r="E67">
        <v>67</v>
      </c>
      <c r="G67">
        <f t="shared" si="10"/>
        <v>12.48082335920575</v>
      </c>
      <c r="H67">
        <f t="shared" si="11"/>
        <v>13.616955185521116</v>
      </c>
    </row>
    <row r="68" spans="1:8" x14ac:dyDescent="0.15">
      <c r="A68">
        <v>68</v>
      </c>
      <c r="C68">
        <f t="shared" si="8"/>
        <v>12.623057547661116</v>
      </c>
      <c r="D68">
        <f t="shared" si="9"/>
        <v>11.47926528107868</v>
      </c>
      <c r="E68">
        <v>68</v>
      </c>
      <c r="G68">
        <f t="shared" si="10"/>
        <v>12.588964450935592</v>
      </c>
      <c r="H68">
        <f t="shared" si="11"/>
        <v>13.730902734245191</v>
      </c>
    </row>
    <row r="69" spans="1:8" x14ac:dyDescent="0.15">
      <c r="A69">
        <v>69</v>
      </c>
      <c r="C69">
        <f t="shared" si="8"/>
        <v>12.714152091028186</v>
      </c>
      <c r="D69">
        <f t="shared" si="9"/>
        <v>11.565351653516068</v>
      </c>
      <c r="E69">
        <v>69</v>
      </c>
      <c r="G69">
        <f t="shared" si="10"/>
        <v>12.69710554266543</v>
      </c>
      <c r="H69">
        <f t="shared" si="11"/>
        <v>13.844962804181229</v>
      </c>
    </row>
    <row r="70" spans="1:8" x14ac:dyDescent="0.15">
      <c r="A70">
        <v>70</v>
      </c>
      <c r="C70">
        <f t="shared" si="8"/>
        <v>12.805246634395258</v>
      </c>
      <c r="D70">
        <f t="shared" si="9"/>
        <v>11.651359605026215</v>
      </c>
      <c r="E70">
        <v>70</v>
      </c>
      <c r="G70">
        <f t="shared" si="10"/>
        <v>12.805246634395271</v>
      </c>
      <c r="H70">
        <f t="shared" si="11"/>
        <v>13.959133663764316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XLSTAT_20211101_191526_1">
    <tabColor rgb="FF007800"/>
  </sheetPr>
  <dimension ref="B1:M314"/>
  <sheetViews>
    <sheetView zoomScaleNormal="100" workbookViewId="0">
      <selection activeCell="C71" sqref="C71"/>
    </sheetView>
  </sheetViews>
  <sheetFormatPr baseColWidth="10" defaultRowHeight="13" x14ac:dyDescent="0.15"/>
  <cols>
    <col min="1" max="1" width="5.83203125" customWidth="1"/>
  </cols>
  <sheetData>
    <row r="1" spans="2:9" x14ac:dyDescent="0.15">
      <c r="B1" t="s">
        <v>399</v>
      </c>
    </row>
    <row r="2" spans="2:9" x14ac:dyDescent="0.15">
      <c r="B2" t="s">
        <v>181</v>
      </c>
    </row>
    <row r="3" spans="2:9" x14ac:dyDescent="0.15">
      <c r="B3" t="s">
        <v>182</v>
      </c>
    </row>
    <row r="4" spans="2:9" x14ac:dyDescent="0.15">
      <c r="B4" t="s">
        <v>183</v>
      </c>
    </row>
    <row r="5" spans="2:9" x14ac:dyDescent="0.15">
      <c r="B5" t="s">
        <v>184</v>
      </c>
    </row>
    <row r="6" spans="2:9" ht="34.25" customHeight="1" x14ac:dyDescent="0.15"/>
    <row r="7" spans="2:9" ht="21" customHeight="1" x14ac:dyDescent="0.15">
      <c r="B7" s="4"/>
    </row>
    <row r="10" spans="2:9" x14ac:dyDescent="0.15">
      <c r="B10" s="4" t="s">
        <v>185</v>
      </c>
    </row>
    <row r="11" spans="2:9" ht="14" thickBot="1" x14ac:dyDescent="0.2"/>
    <row r="12" spans="2:9" ht="28" x14ac:dyDescent="0.15">
      <c r="B12" s="10" t="s">
        <v>186</v>
      </c>
      <c r="C12" s="11" t="s">
        <v>187</v>
      </c>
      <c r="D12" s="11" t="s">
        <v>188</v>
      </c>
      <c r="E12" s="11" t="s">
        <v>189</v>
      </c>
      <c r="F12" s="11" t="s">
        <v>190</v>
      </c>
      <c r="G12" s="11" t="s">
        <v>191</v>
      </c>
      <c r="H12" s="11" t="s">
        <v>192</v>
      </c>
      <c r="I12" s="11" t="s">
        <v>193</v>
      </c>
    </row>
    <row r="13" spans="2:9" x14ac:dyDescent="0.15">
      <c r="B13" s="12" t="s">
        <v>170</v>
      </c>
      <c r="C13" s="14">
        <v>156</v>
      </c>
      <c r="D13" s="14">
        <v>0</v>
      </c>
      <c r="E13" s="14">
        <v>156</v>
      </c>
      <c r="F13" s="17">
        <v>7.9405838271042439</v>
      </c>
      <c r="G13" s="17">
        <v>10.347339693048996</v>
      </c>
      <c r="H13" s="17">
        <v>8.658553442141848</v>
      </c>
      <c r="I13" s="17">
        <v>0.57512567094891376</v>
      </c>
    </row>
    <row r="14" spans="2:9" x14ac:dyDescent="0.15">
      <c r="B14" s="9" t="s">
        <v>169</v>
      </c>
      <c r="C14" s="15">
        <v>156</v>
      </c>
      <c r="D14" s="15">
        <v>0</v>
      </c>
      <c r="E14" s="15">
        <v>156</v>
      </c>
      <c r="F14" s="18">
        <v>1.2697605448639391</v>
      </c>
      <c r="G14" s="18">
        <v>1.7900914121273581</v>
      </c>
      <c r="H14" s="18">
        <v>1.6815474706308642</v>
      </c>
      <c r="I14" s="18">
        <v>0.10972903254880841</v>
      </c>
    </row>
    <row r="15" spans="2:9" x14ac:dyDescent="0.15">
      <c r="B15" s="9" t="s">
        <v>172</v>
      </c>
      <c r="C15" s="15">
        <v>156</v>
      </c>
      <c r="D15" s="15">
        <v>0</v>
      </c>
      <c r="E15" s="15">
        <v>156</v>
      </c>
      <c r="F15" s="18">
        <v>0.95551144502743635</v>
      </c>
      <c r="G15" s="18">
        <v>1.8389610707123492</v>
      </c>
      <c r="H15" s="18">
        <v>1.6373149418496353</v>
      </c>
      <c r="I15" s="18">
        <v>0.16067138311417037</v>
      </c>
    </row>
    <row r="16" spans="2:9" x14ac:dyDescent="0.15">
      <c r="B16" s="9" t="s">
        <v>174</v>
      </c>
      <c r="C16" s="15">
        <v>156</v>
      </c>
      <c r="D16" s="15">
        <v>0</v>
      </c>
      <c r="E16" s="15">
        <v>156</v>
      </c>
      <c r="F16" s="18">
        <v>0.51282362642866375</v>
      </c>
      <c r="G16" s="18">
        <v>1.2697605448639391</v>
      </c>
      <c r="H16" s="18">
        <v>0.98958105793969375</v>
      </c>
      <c r="I16" s="18">
        <v>0.13885612952641049</v>
      </c>
    </row>
    <row r="17" spans="2:9" x14ac:dyDescent="0.15">
      <c r="B17" s="9" t="s">
        <v>176</v>
      </c>
      <c r="C17" s="15">
        <v>156</v>
      </c>
      <c r="D17" s="15">
        <v>0</v>
      </c>
      <c r="E17" s="15">
        <v>156</v>
      </c>
      <c r="F17" s="18">
        <v>0.79750719588418817</v>
      </c>
      <c r="G17" s="18">
        <v>1.4906543764441336</v>
      </c>
      <c r="H17" s="18">
        <v>1.3504303899660413</v>
      </c>
      <c r="I17" s="18">
        <v>0.16707255202732604</v>
      </c>
    </row>
    <row r="18" spans="2:9" x14ac:dyDescent="0.15">
      <c r="B18" s="9" t="s">
        <v>178</v>
      </c>
      <c r="C18" s="15">
        <v>156</v>
      </c>
      <c r="D18" s="15">
        <v>0</v>
      </c>
      <c r="E18" s="15">
        <v>156</v>
      </c>
      <c r="F18" s="18">
        <v>0.86710048768338333</v>
      </c>
      <c r="G18" s="18">
        <v>1.6074359097634274</v>
      </c>
      <c r="H18" s="18">
        <v>1.3893426950776187</v>
      </c>
      <c r="I18" s="18">
        <v>0.14655049570642012</v>
      </c>
    </row>
    <row r="19" spans="2:9" ht="14" thickBot="1" x14ac:dyDescent="0.2">
      <c r="B19" s="13" t="s">
        <v>180</v>
      </c>
      <c r="C19" s="16">
        <v>156</v>
      </c>
      <c r="D19" s="16">
        <v>0</v>
      </c>
      <c r="E19" s="16">
        <v>156</v>
      </c>
      <c r="F19" s="19">
        <v>0.62593843086649537</v>
      </c>
      <c r="G19" s="19">
        <v>1.0986122886681098</v>
      </c>
      <c r="H19" s="19">
        <v>0.95585774489534447</v>
      </c>
      <c r="I19" s="19">
        <v>0.12442606208269026</v>
      </c>
    </row>
    <row r="22" spans="2:9" x14ac:dyDescent="0.15">
      <c r="B22" s="4" t="s">
        <v>194</v>
      </c>
    </row>
    <row r="23" spans="2:9" ht="14" thickBot="1" x14ac:dyDescent="0.2"/>
    <row r="24" spans="2:9" ht="28" x14ac:dyDescent="0.15">
      <c r="B24" s="10"/>
      <c r="C24" s="11" t="s">
        <v>169</v>
      </c>
      <c r="D24" s="11" t="s">
        <v>172</v>
      </c>
      <c r="E24" s="11" t="s">
        <v>174</v>
      </c>
      <c r="F24" s="11" t="s">
        <v>176</v>
      </c>
      <c r="G24" s="11" t="s">
        <v>178</v>
      </c>
      <c r="H24" s="11" t="s">
        <v>180</v>
      </c>
      <c r="I24" s="20" t="s">
        <v>170</v>
      </c>
    </row>
    <row r="25" spans="2:9" x14ac:dyDescent="0.15">
      <c r="B25" s="21" t="s">
        <v>169</v>
      </c>
      <c r="C25" s="27">
        <v>1</v>
      </c>
      <c r="D25" s="23">
        <v>-1.5875315508602807E-2</v>
      </c>
      <c r="E25" s="23">
        <v>0.30280790412706204</v>
      </c>
      <c r="F25" s="23">
        <v>0.11528187100139364</v>
      </c>
      <c r="G25" s="23">
        <v>0.10593256600628163</v>
      </c>
      <c r="H25" s="23">
        <v>0.26312060057623965</v>
      </c>
      <c r="I25" s="24">
        <v>-0.82202134829074358</v>
      </c>
    </row>
    <row r="26" spans="2:9" x14ac:dyDescent="0.15">
      <c r="B26" s="9" t="s">
        <v>172</v>
      </c>
      <c r="C26" s="18">
        <v>-1.5875315508602807E-2</v>
      </c>
      <c r="D26" s="2">
        <v>1</v>
      </c>
      <c r="E26" s="18">
        <v>2.5661954373896949E-2</v>
      </c>
      <c r="F26" s="18">
        <v>2.690850432760741E-2</v>
      </c>
      <c r="G26" s="18">
        <v>7.7924085921378214E-2</v>
      </c>
      <c r="H26" s="18">
        <v>0.20281919970093448</v>
      </c>
      <c r="I26" s="25">
        <v>0.26533707941336987</v>
      </c>
    </row>
    <row r="27" spans="2:9" x14ac:dyDescent="0.15">
      <c r="B27" s="9" t="s">
        <v>174</v>
      </c>
      <c r="C27" s="18">
        <v>0.30280790412706204</v>
      </c>
      <c r="D27" s="18">
        <v>2.5661954373896949E-2</v>
      </c>
      <c r="E27" s="2">
        <v>1</v>
      </c>
      <c r="F27" s="18">
        <v>-6.9728324283180224E-2</v>
      </c>
      <c r="G27" s="18">
        <v>-6.9512189983491582E-2</v>
      </c>
      <c r="H27" s="18">
        <v>0.19184387522268667</v>
      </c>
      <c r="I27" s="25">
        <v>-0.22378602442993145</v>
      </c>
    </row>
    <row r="28" spans="2:9" x14ac:dyDescent="0.15">
      <c r="B28" s="9" t="s">
        <v>176</v>
      </c>
      <c r="C28" s="18">
        <v>0.11528187100139364</v>
      </c>
      <c r="D28" s="18">
        <v>2.690850432760741E-2</v>
      </c>
      <c r="E28" s="18">
        <v>-6.9728324283180224E-2</v>
      </c>
      <c r="F28" s="2">
        <v>1</v>
      </c>
      <c r="G28" s="18">
        <v>5.8766758472414372E-4</v>
      </c>
      <c r="H28" s="18">
        <v>-2.5518683079415367E-2</v>
      </c>
      <c r="I28" s="25">
        <v>-0.10821233502253604</v>
      </c>
    </row>
    <row r="29" spans="2:9" x14ac:dyDescent="0.15">
      <c r="B29" s="9" t="s">
        <v>178</v>
      </c>
      <c r="C29" s="18">
        <v>0.10593256600628163</v>
      </c>
      <c r="D29" s="18">
        <v>7.7924085921378214E-2</v>
      </c>
      <c r="E29" s="18">
        <v>-6.9512189983491582E-2</v>
      </c>
      <c r="F29" s="18">
        <v>5.8766758472414372E-4</v>
      </c>
      <c r="G29" s="2">
        <v>1</v>
      </c>
      <c r="H29" s="18">
        <v>4.2788420832566912E-2</v>
      </c>
      <c r="I29" s="25">
        <v>-0.10118787244679482</v>
      </c>
    </row>
    <row r="30" spans="2:9" x14ac:dyDescent="0.15">
      <c r="B30" s="9" t="s">
        <v>180</v>
      </c>
      <c r="C30" s="18">
        <v>0.26312060057623965</v>
      </c>
      <c r="D30" s="18">
        <v>0.20281919970093448</v>
      </c>
      <c r="E30" s="18">
        <v>0.19184387522268667</v>
      </c>
      <c r="F30" s="18">
        <v>-2.5518683079415367E-2</v>
      </c>
      <c r="G30" s="18">
        <v>4.2788420832566912E-2</v>
      </c>
      <c r="H30" s="2">
        <v>1</v>
      </c>
      <c r="I30" s="25">
        <v>-0.19426702240928923</v>
      </c>
    </row>
    <row r="31" spans="2:9" ht="14" thickBot="1" x14ac:dyDescent="0.2">
      <c r="B31" s="22" t="s">
        <v>170</v>
      </c>
      <c r="C31" s="26">
        <v>-0.82202134829074358</v>
      </c>
      <c r="D31" s="26">
        <v>0.26533707941336987</v>
      </c>
      <c r="E31" s="26">
        <v>-0.22378602442993145</v>
      </c>
      <c r="F31" s="26">
        <v>-0.10821233502253604</v>
      </c>
      <c r="G31" s="26">
        <v>-0.10118787244679482</v>
      </c>
      <c r="H31" s="26">
        <v>-0.19426702240928923</v>
      </c>
      <c r="I31" s="28">
        <v>1</v>
      </c>
    </row>
    <row r="34" spans="2:3" x14ac:dyDescent="0.15">
      <c r="B34" s="8" t="s">
        <v>195</v>
      </c>
    </row>
    <row r="36" spans="2:3" x14ac:dyDescent="0.15">
      <c r="B36" s="4" t="s">
        <v>196</v>
      </c>
    </row>
    <row r="37" spans="2:3" ht="14" thickBot="1" x14ac:dyDescent="0.2"/>
    <row r="38" spans="2:3" x14ac:dyDescent="0.15">
      <c r="B38" s="29" t="s">
        <v>187</v>
      </c>
      <c r="C38" s="30">
        <v>156</v>
      </c>
    </row>
    <row r="39" spans="2:3" x14ac:dyDescent="0.15">
      <c r="B39" s="9" t="s">
        <v>197</v>
      </c>
      <c r="C39" s="15">
        <v>156</v>
      </c>
    </row>
    <row r="40" spans="2:3" x14ac:dyDescent="0.15">
      <c r="B40" s="9" t="s">
        <v>198</v>
      </c>
      <c r="C40" s="15">
        <v>149</v>
      </c>
    </row>
    <row r="41" spans="2:3" x14ac:dyDescent="0.15">
      <c r="B41" s="9" t="s">
        <v>199</v>
      </c>
      <c r="C41" s="18">
        <v>0.74241839983421287</v>
      </c>
    </row>
    <row r="42" spans="2:3" x14ac:dyDescent="0.15">
      <c r="B42" s="9" t="s">
        <v>200</v>
      </c>
      <c r="C42" s="18">
        <v>0.73204598640471807</v>
      </c>
    </row>
    <row r="43" spans="2:3" x14ac:dyDescent="0.15">
      <c r="B43" s="9" t="s">
        <v>201</v>
      </c>
      <c r="C43" s="18">
        <v>8.8631025117214879E-2</v>
      </c>
    </row>
    <row r="44" spans="2:3" x14ac:dyDescent="0.15">
      <c r="B44" s="9" t="s">
        <v>202</v>
      </c>
      <c r="C44" s="18">
        <v>0.29770963222108698</v>
      </c>
    </row>
    <row r="45" spans="2:3" x14ac:dyDescent="0.15">
      <c r="B45" s="9" t="s">
        <v>203</v>
      </c>
      <c r="C45" s="18">
        <v>2.5847084546073313</v>
      </c>
    </row>
    <row r="46" spans="2:3" x14ac:dyDescent="0.15">
      <c r="B46" s="9" t="s">
        <v>204</v>
      </c>
      <c r="C46" s="18">
        <v>1.1283540306795485</v>
      </c>
    </row>
    <row r="47" spans="2:3" x14ac:dyDescent="0.15">
      <c r="B47" s="9" t="s">
        <v>205</v>
      </c>
      <c r="C47" s="18">
        <v>7</v>
      </c>
    </row>
    <row r="48" spans="2:3" x14ac:dyDescent="0.15">
      <c r="B48" s="9" t="s">
        <v>206</v>
      </c>
      <c r="C48" s="18">
        <v>-371.19255008219608</v>
      </c>
    </row>
    <row r="49" spans="2:8" x14ac:dyDescent="0.15">
      <c r="B49" s="9" t="s">
        <v>207</v>
      </c>
      <c r="C49" s="18">
        <v>-349.84355803144933</v>
      </c>
    </row>
    <row r="50" spans="2:8" ht="14" thickBot="1" x14ac:dyDescent="0.2">
      <c r="B50" s="13" t="s">
        <v>208</v>
      </c>
      <c r="C50" s="19">
        <v>0.28178389816794169</v>
      </c>
    </row>
    <row r="53" spans="2:8" x14ac:dyDescent="0.15">
      <c r="B53" s="4" t="s">
        <v>209</v>
      </c>
    </row>
    <row r="54" spans="2:8" ht="14" thickBot="1" x14ac:dyDescent="0.2"/>
    <row r="55" spans="2:8" ht="28" x14ac:dyDescent="0.15">
      <c r="B55" s="10" t="s">
        <v>210</v>
      </c>
      <c r="C55" s="11" t="s">
        <v>198</v>
      </c>
      <c r="D55" s="11" t="s">
        <v>211</v>
      </c>
      <c r="E55" s="11" t="s">
        <v>212</v>
      </c>
      <c r="F55" s="11" t="s">
        <v>213</v>
      </c>
      <c r="G55" s="11" t="s">
        <v>214</v>
      </c>
    </row>
    <row r="56" spans="2:8" x14ac:dyDescent="0.15">
      <c r="B56" s="21" t="s">
        <v>215</v>
      </c>
      <c r="C56" s="31">
        <v>6</v>
      </c>
      <c r="D56" s="23">
        <v>38.063255552122904</v>
      </c>
      <c r="E56" s="23">
        <v>6.3438759253538173</v>
      </c>
      <c r="F56" s="23">
        <v>71.576244514423891</v>
      </c>
      <c r="G56" s="35">
        <v>2.0845982563197687E-41</v>
      </c>
    </row>
    <row r="57" spans="2:8" x14ac:dyDescent="0.15">
      <c r="B57" s="9" t="s">
        <v>216</v>
      </c>
      <c r="C57" s="15">
        <v>149</v>
      </c>
      <c r="D57" s="18">
        <v>13.206022742465017</v>
      </c>
      <c r="E57" s="18">
        <v>8.8631025117214879E-2</v>
      </c>
      <c r="F57" s="18"/>
      <c r="G57" s="36"/>
    </row>
    <row r="58" spans="2:8" ht="14" thickBot="1" x14ac:dyDescent="0.2">
      <c r="B58" s="13" t="s">
        <v>217</v>
      </c>
      <c r="C58" s="16">
        <v>155</v>
      </c>
      <c r="D58" s="19">
        <v>51.26927829458792</v>
      </c>
      <c r="E58" s="19"/>
      <c r="F58" s="19"/>
      <c r="G58" s="37"/>
    </row>
    <row r="59" spans="2:8" x14ac:dyDescent="0.15">
      <c r="B59" s="38" t="s">
        <v>218</v>
      </c>
    </row>
    <row r="62" spans="2:8" x14ac:dyDescent="0.15">
      <c r="B62" s="4" t="s">
        <v>219</v>
      </c>
    </row>
    <row r="63" spans="2:8" ht="14" thickBot="1" x14ac:dyDescent="0.2"/>
    <row r="64" spans="2:8" ht="26" customHeight="1" x14ac:dyDescent="0.15">
      <c r="B64" s="41" t="s">
        <v>210</v>
      </c>
      <c r="C64" s="42" t="s">
        <v>220</v>
      </c>
      <c r="D64" s="42" t="s">
        <v>221</v>
      </c>
      <c r="E64" s="42" t="s">
        <v>222</v>
      </c>
      <c r="F64" s="42" t="s">
        <v>223</v>
      </c>
      <c r="G64" s="42" t="s">
        <v>224</v>
      </c>
      <c r="H64" s="42" t="s">
        <v>225</v>
      </c>
    </row>
    <row r="65" spans="2:8" x14ac:dyDescent="0.15">
      <c r="B65" s="43" t="s">
        <v>226</v>
      </c>
      <c r="C65" s="44">
        <v>14.61082325990437</v>
      </c>
      <c r="D65" s="44">
        <v>0.5072058895265118</v>
      </c>
      <c r="E65" s="44">
        <v>28.806493697350213</v>
      </c>
      <c r="F65" s="45">
        <v>8.8140307117948145E-63</v>
      </c>
      <c r="G65" s="44">
        <v>13.608577738398417</v>
      </c>
      <c r="H65" s="44">
        <v>15.613068781410323</v>
      </c>
    </row>
    <row r="66" spans="2:8" x14ac:dyDescent="0.15">
      <c r="B66" s="46" t="s">
        <v>169</v>
      </c>
      <c r="C66" s="47">
        <v>-4.2302049117572</v>
      </c>
      <c r="D66" s="47">
        <v>0.23986890062715063</v>
      </c>
      <c r="E66" s="47">
        <v>-17.635487137753554</v>
      </c>
      <c r="F66" s="48">
        <v>0</v>
      </c>
      <c r="G66" s="47">
        <v>-4.704189020314268</v>
      </c>
      <c r="H66" s="47">
        <v>-3.7562208032001321</v>
      </c>
    </row>
    <row r="67" spans="2:8" x14ac:dyDescent="0.15">
      <c r="B67" s="46" t="s">
        <v>172</v>
      </c>
      <c r="C67" s="47">
        <v>0.9411010356440398</v>
      </c>
      <c r="D67" s="47">
        <v>0.1530445802981511</v>
      </c>
      <c r="E67" s="47">
        <v>6.1491954423387645</v>
      </c>
      <c r="F67" s="48">
        <v>6.8145433740340877E-9</v>
      </c>
      <c r="G67" s="47">
        <v>0.63868292820098227</v>
      </c>
      <c r="H67" s="47">
        <v>1.2435191430870973</v>
      </c>
    </row>
    <row r="68" spans="2:8" x14ac:dyDescent="0.15">
      <c r="B68" s="46" t="s">
        <v>174</v>
      </c>
      <c r="C68" s="47">
        <v>7.1383328212668545E-2</v>
      </c>
      <c r="D68" s="47">
        <v>0.18424174944995189</v>
      </c>
      <c r="E68" s="47">
        <v>0.38744382544011491</v>
      </c>
      <c r="F68" s="49">
        <v>0.6989805455989333</v>
      </c>
      <c r="G68" s="47">
        <v>-0.29268079658094603</v>
      </c>
      <c r="H68" s="47">
        <v>0.43544745300628307</v>
      </c>
    </row>
    <row r="69" spans="2:8" x14ac:dyDescent="0.15">
      <c r="B69" s="46" t="s">
        <v>176</v>
      </c>
      <c r="C69" s="47">
        <v>-7.5678492014346385E-2</v>
      </c>
      <c r="D69" s="47">
        <v>0.14531221149578405</v>
      </c>
      <c r="E69" s="47">
        <v>-0.52079925861249488</v>
      </c>
      <c r="F69" s="49">
        <v>0.60327970838799971</v>
      </c>
      <c r="G69" s="47">
        <v>-0.36281733680917394</v>
      </c>
      <c r="H69" s="47">
        <v>0.21146035278048114</v>
      </c>
    </row>
    <row r="70" spans="2:8" x14ac:dyDescent="0.15">
      <c r="B70" s="46" t="s">
        <v>178</v>
      </c>
      <c r="C70" s="47">
        <v>-0.13090137487315132</v>
      </c>
      <c r="D70" s="47">
        <v>0.16569744939316505</v>
      </c>
      <c r="E70" s="47">
        <v>-0.79000235279753761</v>
      </c>
      <c r="F70" s="49">
        <v>0.43078185895659438</v>
      </c>
      <c r="G70" s="47">
        <v>-0.45832171838353275</v>
      </c>
      <c r="H70" s="47">
        <v>0.19651896863723009</v>
      </c>
    </row>
    <row r="71" spans="2:8" ht="14" thickBot="1" x14ac:dyDescent="0.2">
      <c r="B71" s="50" t="s">
        <v>180</v>
      </c>
      <c r="C71" s="51">
        <v>-0.17411839941587121</v>
      </c>
      <c r="D71" s="51">
        <v>0.20569311954748076</v>
      </c>
      <c r="E71" s="51">
        <v>-0.84649598294258421</v>
      </c>
      <c r="F71" s="52">
        <v>0.39863359785038655</v>
      </c>
      <c r="G71" s="51">
        <v>-0.5805707142016906</v>
      </c>
      <c r="H71" s="51">
        <v>0.23233391536994819</v>
      </c>
    </row>
    <row r="74" spans="2:8" x14ac:dyDescent="0.15">
      <c r="B74" s="4" t="s">
        <v>227</v>
      </c>
    </row>
    <row r="76" spans="2:8" x14ac:dyDescent="0.15">
      <c r="B76" t="s">
        <v>228</v>
      </c>
    </row>
    <row r="79" spans="2:8" x14ac:dyDescent="0.15">
      <c r="B79" s="4" t="s">
        <v>229</v>
      </c>
    </row>
    <row r="80" spans="2:8" ht="14" thickBot="1" x14ac:dyDescent="0.2"/>
    <row r="81" spans="2:8" ht="26" customHeight="1" x14ac:dyDescent="0.15">
      <c r="B81" s="10" t="s">
        <v>210</v>
      </c>
      <c r="C81" s="11" t="s">
        <v>220</v>
      </c>
      <c r="D81" s="11" t="s">
        <v>221</v>
      </c>
      <c r="E81" s="11" t="s">
        <v>222</v>
      </c>
      <c r="F81" s="11" t="s">
        <v>223</v>
      </c>
      <c r="G81" s="11" t="s">
        <v>224</v>
      </c>
      <c r="H81" s="11" t="s">
        <v>225</v>
      </c>
    </row>
    <row r="82" spans="2:8" x14ac:dyDescent="0.15">
      <c r="B82" s="21" t="s">
        <v>169</v>
      </c>
      <c r="C82" s="23">
        <v>-0.8070867219063258</v>
      </c>
      <c r="D82" s="23">
        <v>4.5764923622582415E-2</v>
      </c>
      <c r="E82" s="23">
        <v>-17.63548713775355</v>
      </c>
      <c r="F82" s="35">
        <v>0</v>
      </c>
      <c r="G82" s="23">
        <v>-0.89751881406048784</v>
      </c>
      <c r="H82" s="23">
        <v>-0.71665462975216376</v>
      </c>
    </row>
    <row r="83" spans="2:8" x14ac:dyDescent="0.15">
      <c r="B83" s="9" t="s">
        <v>172</v>
      </c>
      <c r="C83" s="18">
        <v>0.2629129817794853</v>
      </c>
      <c r="D83" s="18">
        <v>4.2755671737031327E-2</v>
      </c>
      <c r="E83" s="18">
        <v>6.1491954423387627</v>
      </c>
      <c r="F83" s="36">
        <v>6.8145433740340877E-9</v>
      </c>
      <c r="G83" s="18">
        <v>0.17842721100615824</v>
      </c>
      <c r="H83" s="18">
        <v>0.34739875255281238</v>
      </c>
    </row>
    <row r="84" spans="2:8" x14ac:dyDescent="0.15">
      <c r="B84" s="9" t="s">
        <v>174</v>
      </c>
      <c r="C84" s="18">
        <v>1.7234516157087036E-2</v>
      </c>
      <c r="D84" s="18">
        <v>4.448261922230809E-2</v>
      </c>
      <c r="E84" s="18">
        <v>0.38744382544011491</v>
      </c>
      <c r="F84" s="33">
        <v>0.6989805455989333</v>
      </c>
      <c r="G84" s="18">
        <v>-7.0663725604324101E-2</v>
      </c>
      <c r="H84" s="18">
        <v>0.10513275791849819</v>
      </c>
    </row>
    <row r="85" spans="2:8" x14ac:dyDescent="0.15">
      <c r="B85" s="9" t="s">
        <v>176</v>
      </c>
      <c r="C85" s="18">
        <v>-2.1984410422082462E-2</v>
      </c>
      <c r="D85" s="18">
        <v>4.2212829719944264E-2</v>
      </c>
      <c r="E85" s="18">
        <v>-0.52079925861249488</v>
      </c>
      <c r="F85" s="33">
        <v>0.60327970838799971</v>
      </c>
      <c r="G85" s="18">
        <v>-0.1053975182162421</v>
      </c>
      <c r="H85" s="18">
        <v>6.1428697372077179E-2</v>
      </c>
    </row>
    <row r="86" spans="2:8" x14ac:dyDescent="0.15">
      <c r="B86" s="9" t="s">
        <v>178</v>
      </c>
      <c r="C86" s="18">
        <v>-3.335559921131788E-2</v>
      </c>
      <c r="D86" s="18">
        <v>4.2222151735624359E-2</v>
      </c>
      <c r="E86" s="18">
        <v>-0.79000235279753761</v>
      </c>
      <c r="F86" s="33">
        <v>0.43078185895659438</v>
      </c>
      <c r="G86" s="18">
        <v>-0.11678712743130402</v>
      </c>
      <c r="H86" s="18">
        <v>5.0075929008668266E-2</v>
      </c>
    </row>
    <row r="87" spans="2:8" ht="14" thickBot="1" x14ac:dyDescent="0.2">
      <c r="B87" s="13" t="s">
        <v>180</v>
      </c>
      <c r="C87" s="19">
        <v>-3.7669796132925988E-2</v>
      </c>
      <c r="D87" s="19">
        <v>4.4500856344265774E-2</v>
      </c>
      <c r="E87" s="19">
        <v>-0.8464959829425841</v>
      </c>
      <c r="F87" s="34">
        <v>0.39863359785038655</v>
      </c>
      <c r="G87" s="19">
        <v>-0.12560407468764864</v>
      </c>
      <c r="H87" s="19">
        <v>5.0264482421796673E-2</v>
      </c>
    </row>
    <row r="109" spans="2:6" x14ac:dyDescent="0.15">
      <c r="F109" t="s">
        <v>230</v>
      </c>
    </row>
    <row r="112" spans="2:6" x14ac:dyDescent="0.15">
      <c r="B112" s="4" t="s">
        <v>231</v>
      </c>
    </row>
    <row r="113" spans="2:13" ht="14" thickBot="1" x14ac:dyDescent="0.2"/>
    <row r="114" spans="2:13" ht="56" x14ac:dyDescent="0.15">
      <c r="B114" s="10" t="s">
        <v>232</v>
      </c>
      <c r="C114" s="11" t="s">
        <v>233</v>
      </c>
      <c r="D114" s="11" t="s">
        <v>170</v>
      </c>
      <c r="E114" s="11" t="s">
        <v>390</v>
      </c>
      <c r="F114" s="11" t="s">
        <v>391</v>
      </c>
      <c r="G114" s="11" t="s">
        <v>392</v>
      </c>
      <c r="H114" s="11" t="s">
        <v>393</v>
      </c>
      <c r="I114" s="11" t="s">
        <v>394</v>
      </c>
      <c r="J114" s="11" t="s">
        <v>395</v>
      </c>
      <c r="K114" s="11" t="s">
        <v>396</v>
      </c>
      <c r="L114" s="11" t="s">
        <v>397</v>
      </c>
      <c r="M114" s="11" t="s">
        <v>398</v>
      </c>
    </row>
    <row r="115" spans="2:13" x14ac:dyDescent="0.15">
      <c r="B115" s="21" t="s">
        <v>234</v>
      </c>
      <c r="C115" s="31">
        <v>1</v>
      </c>
      <c r="D115" s="23">
        <v>8.908424139496578</v>
      </c>
      <c r="E115" s="23">
        <v>8.9615130883498058</v>
      </c>
      <c r="F115" s="23">
        <v>-5.3088948853227791E-2</v>
      </c>
      <c r="G115" s="23">
        <v>-0.17832459251369651</v>
      </c>
      <c r="H115" s="23">
        <v>3.7942026057398284E-2</v>
      </c>
      <c r="I115" s="23">
        <v>8.8865391448721596</v>
      </c>
      <c r="J115" s="23">
        <v>9.0364870318274519</v>
      </c>
      <c r="K115" s="23">
        <v>0.30011768101622266</v>
      </c>
      <c r="L115" s="23">
        <v>8.3684765958042302</v>
      </c>
      <c r="M115" s="23">
        <v>9.5545495808953813</v>
      </c>
    </row>
    <row r="116" spans="2:13" x14ac:dyDescent="0.15">
      <c r="B116" s="9" t="s">
        <v>235</v>
      </c>
      <c r="C116" s="15">
        <v>1</v>
      </c>
      <c r="D116" s="18">
        <v>8.6518988942685287</v>
      </c>
      <c r="E116" s="18">
        <v>8.9194220004136202</v>
      </c>
      <c r="F116" s="18">
        <v>-0.26752310614509156</v>
      </c>
      <c r="G116" s="18">
        <v>-0.89860413366276937</v>
      </c>
      <c r="H116" s="18">
        <v>3.6737098640516108E-2</v>
      </c>
      <c r="I116" s="18">
        <v>8.8468290093898929</v>
      </c>
      <c r="J116" s="18">
        <v>8.9920149914373475</v>
      </c>
      <c r="K116" s="18">
        <v>0.29996773082072992</v>
      </c>
      <c r="L116" s="18">
        <v>8.3266818114303351</v>
      </c>
      <c r="M116" s="18">
        <v>9.5121621893969053</v>
      </c>
    </row>
    <row r="117" spans="2:13" x14ac:dyDescent="0.15">
      <c r="B117" s="9" t="s">
        <v>236</v>
      </c>
      <c r="C117" s="15">
        <v>1</v>
      </c>
      <c r="D117" s="18">
        <v>8.7134176533791834</v>
      </c>
      <c r="E117" s="18">
        <v>8.7451704573902163</v>
      </c>
      <c r="F117" s="18">
        <v>-3.1752804011032865E-2</v>
      </c>
      <c r="G117" s="18">
        <v>-0.1066569589103936</v>
      </c>
      <c r="H117" s="18">
        <v>6.0266044716395545E-2</v>
      </c>
      <c r="I117" s="18">
        <v>8.6260839588634131</v>
      </c>
      <c r="J117" s="18">
        <v>8.8642569559170195</v>
      </c>
      <c r="K117" s="18">
        <v>0.30374828602475024</v>
      </c>
      <c r="L117" s="18">
        <v>8.1449598415048055</v>
      </c>
      <c r="M117" s="18">
        <v>9.3453810732756271</v>
      </c>
    </row>
    <row r="118" spans="2:13" x14ac:dyDescent="0.15">
      <c r="B118" s="9" t="s">
        <v>237</v>
      </c>
      <c r="C118" s="15">
        <v>1</v>
      </c>
      <c r="D118" s="18">
        <v>8.6936643345320164</v>
      </c>
      <c r="E118" s="18">
        <v>8.8776927940034192</v>
      </c>
      <c r="F118" s="18">
        <v>-0.18402845947140278</v>
      </c>
      <c r="G118" s="18">
        <v>-0.61814748182127488</v>
      </c>
      <c r="H118" s="18">
        <v>4.7031574159330382E-2</v>
      </c>
      <c r="I118" s="18">
        <v>8.7847577836971169</v>
      </c>
      <c r="J118" s="18">
        <v>8.9706278043097214</v>
      </c>
      <c r="K118" s="18">
        <v>0.30140171546479205</v>
      </c>
      <c r="L118" s="18">
        <v>8.2821190324668628</v>
      </c>
      <c r="M118" s="18">
        <v>9.4732665555399755</v>
      </c>
    </row>
    <row r="119" spans="2:13" x14ac:dyDescent="0.15">
      <c r="B119" s="9" t="s">
        <v>238</v>
      </c>
      <c r="C119" s="15">
        <v>1</v>
      </c>
      <c r="D119" s="18">
        <v>8.8539511015146104</v>
      </c>
      <c r="E119" s="18">
        <v>8.9567915279148043</v>
      </c>
      <c r="F119" s="18">
        <v>-0.10284042640019386</v>
      </c>
      <c r="G119" s="18">
        <v>-0.34543869351134016</v>
      </c>
      <c r="H119" s="18">
        <v>4.198851459879973E-2</v>
      </c>
      <c r="I119" s="18">
        <v>8.8738216697559817</v>
      </c>
      <c r="J119" s="18">
        <v>9.0397613860736268</v>
      </c>
      <c r="K119" s="18">
        <v>0.30065605012277485</v>
      </c>
      <c r="L119" s="18">
        <v>8.3626912109202198</v>
      </c>
      <c r="M119" s="18">
        <v>9.5508918449093887</v>
      </c>
    </row>
    <row r="120" spans="2:13" x14ac:dyDescent="0.15">
      <c r="B120" s="9" t="s">
        <v>239</v>
      </c>
      <c r="C120" s="15">
        <v>1</v>
      </c>
      <c r="D120" s="18">
        <v>8.7382545765261224</v>
      </c>
      <c r="E120" s="18">
        <v>8.9842512476207563</v>
      </c>
      <c r="F120" s="18">
        <v>-0.24599667109463397</v>
      </c>
      <c r="G120" s="18">
        <v>-0.82629731950342267</v>
      </c>
      <c r="H120" s="18">
        <v>5.3892903204430118E-2</v>
      </c>
      <c r="I120" s="18">
        <v>8.8777581607048752</v>
      </c>
      <c r="J120" s="18">
        <v>9.0907443345366374</v>
      </c>
      <c r="K120" s="18">
        <v>0.3025482938854836</v>
      </c>
      <c r="L120" s="18">
        <v>8.3864118320156589</v>
      </c>
      <c r="M120" s="18">
        <v>9.5820906632258538</v>
      </c>
    </row>
    <row r="121" spans="2:13" x14ac:dyDescent="0.15">
      <c r="B121" s="9" t="s">
        <v>240</v>
      </c>
      <c r="C121" s="15">
        <v>1</v>
      </c>
      <c r="D121" s="18">
        <v>9.204825191288073</v>
      </c>
      <c r="E121" s="18">
        <v>9.1276711884658059</v>
      </c>
      <c r="F121" s="18">
        <v>7.7154002822267032E-2</v>
      </c>
      <c r="G121" s="18">
        <v>0.25915857087543087</v>
      </c>
      <c r="H121" s="18">
        <v>9.702213023862058E-2</v>
      </c>
      <c r="I121" s="18">
        <v>8.9359541805868155</v>
      </c>
      <c r="J121" s="18">
        <v>9.3193881963447964</v>
      </c>
      <c r="K121" s="18">
        <v>0.31312029457263663</v>
      </c>
      <c r="L121" s="18">
        <v>8.5089413601883557</v>
      </c>
      <c r="M121" s="18">
        <v>9.7464010167432562</v>
      </c>
    </row>
    <row r="122" spans="2:13" x14ac:dyDescent="0.15">
      <c r="B122" s="9" t="s">
        <v>241</v>
      </c>
      <c r="C122" s="15">
        <v>1</v>
      </c>
      <c r="D122" s="18">
        <v>10.028224133937455</v>
      </c>
      <c r="E122" s="18">
        <v>9.3522738032970398</v>
      </c>
      <c r="F122" s="18">
        <v>0.67595033064041488</v>
      </c>
      <c r="G122" s="18">
        <v>2.2705020512686551</v>
      </c>
      <c r="H122" s="18">
        <v>5.1339844621690521E-2</v>
      </c>
      <c r="I122" s="18">
        <v>9.2508255937840644</v>
      </c>
      <c r="J122" s="18">
        <v>9.4537220128100152</v>
      </c>
      <c r="K122" s="18">
        <v>0.30210396350096802</v>
      </c>
      <c r="L122" s="18">
        <v>8.7553123903869938</v>
      </c>
      <c r="M122" s="18">
        <v>9.9492352162070858</v>
      </c>
    </row>
    <row r="123" spans="2:13" x14ac:dyDescent="0.15">
      <c r="B123" s="9" t="s">
        <v>242</v>
      </c>
      <c r="C123" s="15">
        <v>1</v>
      </c>
      <c r="D123" s="18">
        <v>9.7814329065288224</v>
      </c>
      <c r="E123" s="18">
        <v>9.3629757268695037</v>
      </c>
      <c r="F123" s="18">
        <v>0.41845717965931861</v>
      </c>
      <c r="G123" s="18">
        <v>1.4055883128046101</v>
      </c>
      <c r="H123" s="18">
        <v>4.9329479051624971E-2</v>
      </c>
      <c r="I123" s="18">
        <v>9.2655000262149496</v>
      </c>
      <c r="J123" s="18">
        <v>9.4604514275240579</v>
      </c>
      <c r="K123" s="18">
        <v>0.30176882314235109</v>
      </c>
      <c r="L123" s="18">
        <v>8.7666765557244606</v>
      </c>
      <c r="M123" s="18">
        <v>9.9592748980145469</v>
      </c>
    </row>
    <row r="124" spans="2:13" x14ac:dyDescent="0.15">
      <c r="B124" s="9" t="s">
        <v>243</v>
      </c>
      <c r="C124" s="15">
        <v>1</v>
      </c>
      <c r="D124" s="18">
        <v>8.8152215559221627</v>
      </c>
      <c r="E124" s="18">
        <v>8.9557351602154931</v>
      </c>
      <c r="F124" s="18">
        <v>-0.14051360429333037</v>
      </c>
      <c r="G124" s="18">
        <v>-0.47198205595504983</v>
      </c>
      <c r="H124" s="18">
        <v>3.4638439731714543E-2</v>
      </c>
      <c r="I124" s="18">
        <v>8.8872891468510318</v>
      </c>
      <c r="J124" s="18">
        <v>9.0241811735799544</v>
      </c>
      <c r="K124" s="18">
        <v>0.2997179451155077</v>
      </c>
      <c r="L124" s="18">
        <v>8.3634885510773245</v>
      </c>
      <c r="M124" s="18">
        <v>9.5479817693536617</v>
      </c>
    </row>
    <row r="125" spans="2:13" x14ac:dyDescent="0.15">
      <c r="B125" s="9" t="s">
        <v>244</v>
      </c>
      <c r="C125" s="15">
        <v>1</v>
      </c>
      <c r="D125" s="18">
        <v>9.1700390752026575</v>
      </c>
      <c r="E125" s="18">
        <v>9.4060874436174355</v>
      </c>
      <c r="F125" s="18">
        <v>-0.23604836841477805</v>
      </c>
      <c r="G125" s="18">
        <v>-0.79288119317376449</v>
      </c>
      <c r="H125" s="18">
        <v>0.10820644175317436</v>
      </c>
      <c r="I125" s="18">
        <v>9.1922700888023048</v>
      </c>
      <c r="J125" s="18">
        <v>9.6199047984325663</v>
      </c>
      <c r="K125" s="18">
        <v>0.31676435903380606</v>
      </c>
      <c r="L125" s="18">
        <v>8.7801568959443657</v>
      </c>
      <c r="M125" s="18">
        <v>10.032017991290505</v>
      </c>
    </row>
    <row r="126" spans="2:13" x14ac:dyDescent="0.15">
      <c r="B126" s="9" t="s">
        <v>245</v>
      </c>
      <c r="C126" s="15">
        <v>1</v>
      </c>
      <c r="D126" s="18">
        <v>8.6114118666552191</v>
      </c>
      <c r="E126" s="18">
        <v>8.927578275162471</v>
      </c>
      <c r="F126" s="18">
        <v>-0.31616640850725197</v>
      </c>
      <c r="G126" s="18">
        <v>-1.0619958989854199</v>
      </c>
      <c r="H126" s="18">
        <v>6.1419887923050205E-2</v>
      </c>
      <c r="I126" s="18">
        <v>8.8062117672543305</v>
      </c>
      <c r="J126" s="18">
        <v>9.0489447830706116</v>
      </c>
      <c r="K126" s="18">
        <v>0.30397932125342825</v>
      </c>
      <c r="L126" s="18">
        <v>8.3269111306206813</v>
      </c>
      <c r="M126" s="18">
        <v>9.5282454197042608</v>
      </c>
    </row>
    <row r="127" spans="2:13" x14ac:dyDescent="0.15">
      <c r="B127" s="9" t="s">
        <v>246</v>
      </c>
      <c r="C127" s="15">
        <v>1</v>
      </c>
      <c r="D127" s="18">
        <v>8.6020856584342003</v>
      </c>
      <c r="E127" s="18">
        <v>8.8693589544782814</v>
      </c>
      <c r="F127" s="18">
        <v>-0.26727329604408112</v>
      </c>
      <c r="G127" s="18">
        <v>-0.89776502711741946</v>
      </c>
      <c r="H127" s="18">
        <v>3.6872491158633273E-2</v>
      </c>
      <c r="I127" s="18">
        <v>8.796498426054594</v>
      </c>
      <c r="J127" s="18">
        <v>8.9422194829019688</v>
      </c>
      <c r="K127" s="18">
        <v>0.29998434246049971</v>
      </c>
      <c r="L127" s="18">
        <v>8.2765859406759077</v>
      </c>
      <c r="M127" s="18">
        <v>9.4621319682806551</v>
      </c>
    </row>
    <row r="128" spans="2:13" x14ac:dyDescent="0.15">
      <c r="B128" s="9" t="s">
        <v>247</v>
      </c>
      <c r="C128" s="15">
        <v>1</v>
      </c>
      <c r="D128" s="18">
        <v>8.5906295094894194</v>
      </c>
      <c r="E128" s="18">
        <v>8.9486782530295805</v>
      </c>
      <c r="F128" s="18">
        <v>-0.35804874354016114</v>
      </c>
      <c r="G128" s="18">
        <v>-1.2026777261753652</v>
      </c>
      <c r="H128" s="18">
        <v>4.7296146925579097E-2</v>
      </c>
      <c r="I128" s="18">
        <v>8.8552204434507118</v>
      </c>
      <c r="J128" s="18">
        <v>9.0421360626084493</v>
      </c>
      <c r="K128" s="18">
        <v>0.30144311342477348</v>
      </c>
      <c r="L128" s="18">
        <v>8.3530226885785712</v>
      </c>
      <c r="M128" s="18">
        <v>9.5443338174805898</v>
      </c>
    </row>
    <row r="129" spans="2:13" x14ac:dyDescent="0.15">
      <c r="B129" s="9" t="s">
        <v>248</v>
      </c>
      <c r="C129" s="15">
        <v>1</v>
      </c>
      <c r="D129" s="18">
        <v>8.596928159435091</v>
      </c>
      <c r="E129" s="18">
        <v>8.9552695508640383</v>
      </c>
      <c r="F129" s="18">
        <v>-0.35834139142894728</v>
      </c>
      <c r="G129" s="18">
        <v>-1.2036607238923112</v>
      </c>
      <c r="H129" s="18">
        <v>3.6528076188827432E-2</v>
      </c>
      <c r="I129" s="18">
        <v>8.8830895909592815</v>
      </c>
      <c r="J129" s="18">
        <v>9.0274495107687951</v>
      </c>
      <c r="K129" s="18">
        <v>0.29994220354473572</v>
      </c>
      <c r="L129" s="18">
        <v>8.3625798041145085</v>
      </c>
      <c r="M129" s="18">
        <v>9.5479592976135681</v>
      </c>
    </row>
    <row r="130" spans="2:13" x14ac:dyDescent="0.15">
      <c r="B130" s="9" t="s">
        <v>249</v>
      </c>
      <c r="C130" s="15">
        <v>1</v>
      </c>
      <c r="D130" s="18">
        <v>9.5435214844991823</v>
      </c>
      <c r="E130" s="18">
        <v>9.2578827892586162</v>
      </c>
      <c r="F130" s="18">
        <v>0.28563869524056607</v>
      </c>
      <c r="G130" s="18">
        <v>0.95945399250113372</v>
      </c>
      <c r="H130" s="18">
        <v>5.2998429235303998E-2</v>
      </c>
      <c r="I130" s="18">
        <v>9.1531571946928274</v>
      </c>
      <c r="J130" s="18">
        <v>9.362608383824405</v>
      </c>
      <c r="K130" s="18">
        <v>0.30239024226754474</v>
      </c>
      <c r="L130" s="18">
        <v>8.6603556857333217</v>
      </c>
      <c r="M130" s="18">
        <v>9.8554098927839107</v>
      </c>
    </row>
    <row r="131" spans="2:13" x14ac:dyDescent="0.15">
      <c r="B131" s="9" t="s">
        <v>250</v>
      </c>
      <c r="C131" s="15">
        <v>1</v>
      </c>
      <c r="D131" s="18">
        <v>8.5049181605406243</v>
      </c>
      <c r="E131" s="18">
        <v>8.9434733134492568</v>
      </c>
      <c r="F131" s="18">
        <v>-0.43855515290863245</v>
      </c>
      <c r="G131" s="18">
        <v>-1.4730969557039724</v>
      </c>
      <c r="H131" s="18">
        <v>3.0864970951129115E-2</v>
      </c>
      <c r="I131" s="18">
        <v>8.8824837241208314</v>
      </c>
      <c r="J131" s="18">
        <v>9.0044629027776821</v>
      </c>
      <c r="K131" s="18">
        <v>0.29930531493615165</v>
      </c>
      <c r="L131" s="18">
        <v>8.3520420669830084</v>
      </c>
      <c r="M131" s="18">
        <v>9.5349045599155051</v>
      </c>
    </row>
    <row r="132" spans="2:13" x14ac:dyDescent="0.15">
      <c r="B132" s="9" t="s">
        <v>251</v>
      </c>
      <c r="C132" s="15">
        <v>1</v>
      </c>
      <c r="D132" s="18">
        <v>8.6459381473067989</v>
      </c>
      <c r="E132" s="18">
        <v>8.9821372783238385</v>
      </c>
      <c r="F132" s="18">
        <v>-0.33619913101703958</v>
      </c>
      <c r="G132" s="18">
        <v>-1.1292853661092472</v>
      </c>
      <c r="H132" s="18">
        <v>5.6394756928889039E-2</v>
      </c>
      <c r="I132" s="18">
        <v>8.8707004954797757</v>
      </c>
      <c r="J132" s="18">
        <v>9.0935740611679012</v>
      </c>
      <c r="K132" s="18">
        <v>0.30300395001762492</v>
      </c>
      <c r="L132" s="18">
        <v>8.3833974801971358</v>
      </c>
      <c r="M132" s="18">
        <v>9.5808770764505411</v>
      </c>
    </row>
    <row r="133" spans="2:13" x14ac:dyDescent="0.15">
      <c r="B133" s="9" t="s">
        <v>252</v>
      </c>
      <c r="C133" s="15">
        <v>1</v>
      </c>
      <c r="D133" s="18">
        <v>8.9235911975730016</v>
      </c>
      <c r="E133" s="18">
        <v>9.1252602057205792</v>
      </c>
      <c r="F133" s="18">
        <v>-0.2016690081475776</v>
      </c>
      <c r="G133" s="18">
        <v>-0.67740169050967391</v>
      </c>
      <c r="H133" s="18">
        <v>4.5937654475452359E-2</v>
      </c>
      <c r="I133" s="18">
        <v>9.0344867951249519</v>
      </c>
      <c r="J133" s="18">
        <v>9.2160336163162064</v>
      </c>
      <c r="K133" s="18">
        <v>0.30123295506288972</v>
      </c>
      <c r="L133" s="18">
        <v>8.5300199169620541</v>
      </c>
      <c r="M133" s="18">
        <v>9.7205004944791042</v>
      </c>
    </row>
    <row r="134" spans="2:13" x14ac:dyDescent="0.15">
      <c r="B134" s="9" t="s">
        <v>253</v>
      </c>
      <c r="C134" s="15">
        <v>1</v>
      </c>
      <c r="D134" s="18">
        <v>9.8271463192794055</v>
      </c>
      <c r="E134" s="18">
        <v>9.3800389659948156</v>
      </c>
      <c r="F134" s="18">
        <v>0.44710735328458995</v>
      </c>
      <c r="G134" s="18">
        <v>1.5018236056015692</v>
      </c>
      <c r="H134" s="18">
        <v>4.8007678102905398E-2</v>
      </c>
      <c r="I134" s="18">
        <v>9.2851751614332141</v>
      </c>
      <c r="J134" s="18">
        <v>9.4749027705564171</v>
      </c>
      <c r="K134" s="18">
        <v>0.30155557078927769</v>
      </c>
      <c r="L134" s="18">
        <v>8.7841611843096175</v>
      </c>
      <c r="M134" s="18">
        <v>9.9759167476800137</v>
      </c>
    </row>
    <row r="135" spans="2:13" x14ac:dyDescent="0.15">
      <c r="B135" s="9" t="s">
        <v>254</v>
      </c>
      <c r="C135" s="15">
        <v>1</v>
      </c>
      <c r="D135" s="18">
        <v>9.6589288244664342</v>
      </c>
      <c r="E135" s="18">
        <v>9.3779888837168706</v>
      </c>
      <c r="F135" s="18">
        <v>0.28093994074956363</v>
      </c>
      <c r="G135" s="18">
        <v>0.94367098119596704</v>
      </c>
      <c r="H135" s="18">
        <v>5.2609606884164967E-2</v>
      </c>
      <c r="I135" s="18">
        <v>9.2740316072407136</v>
      </c>
      <c r="J135" s="18">
        <v>9.4819461601930275</v>
      </c>
      <c r="K135" s="18">
        <v>0.30232233766911976</v>
      </c>
      <c r="L135" s="18">
        <v>8.7805959605728887</v>
      </c>
      <c r="M135" s="18">
        <v>9.9753818068608524</v>
      </c>
    </row>
    <row r="136" spans="2:13" x14ac:dyDescent="0.15">
      <c r="B136" s="9" t="s">
        <v>255</v>
      </c>
      <c r="C136" s="15">
        <v>1</v>
      </c>
      <c r="D136" s="18">
        <v>8.3471163610387205</v>
      </c>
      <c r="E136" s="18">
        <v>8.9438009766362949</v>
      </c>
      <c r="F136" s="18">
        <v>-0.59668461559757446</v>
      </c>
      <c r="G136" s="18">
        <v>-2.0042502862469052</v>
      </c>
      <c r="H136" s="18">
        <v>3.0855635735762908E-2</v>
      </c>
      <c r="I136" s="18">
        <v>8.8828298338164497</v>
      </c>
      <c r="J136" s="18">
        <v>9.0047721194561401</v>
      </c>
      <c r="K136" s="18">
        <v>0.29930435241384806</v>
      </c>
      <c r="L136" s="18">
        <v>8.3523716321268022</v>
      </c>
      <c r="M136" s="18">
        <v>9.5352303211457876</v>
      </c>
    </row>
    <row r="137" spans="2:13" x14ac:dyDescent="0.15">
      <c r="B137" s="9" t="s">
        <v>256</v>
      </c>
      <c r="C137" s="15">
        <v>1</v>
      </c>
      <c r="D137" s="18">
        <v>8.5308988384723499</v>
      </c>
      <c r="E137" s="18">
        <v>8.8503434856753884</v>
      </c>
      <c r="F137" s="18">
        <v>-0.31944464720303856</v>
      </c>
      <c r="G137" s="18">
        <v>-1.0730074294868988</v>
      </c>
      <c r="H137" s="18">
        <v>7.8482044713948193E-2</v>
      </c>
      <c r="I137" s="18">
        <v>8.6952619311086341</v>
      </c>
      <c r="J137" s="18">
        <v>9.0054250402421427</v>
      </c>
      <c r="K137" s="18">
        <v>0.30788058798777335</v>
      </c>
      <c r="L137" s="18">
        <v>8.241967386656853</v>
      </c>
      <c r="M137" s="18">
        <v>9.4587195846939238</v>
      </c>
    </row>
    <row r="138" spans="2:13" x14ac:dyDescent="0.15">
      <c r="B138" s="9" t="s">
        <v>257</v>
      </c>
      <c r="C138" s="15">
        <v>1</v>
      </c>
      <c r="D138" s="18">
        <v>8.4060381420500754</v>
      </c>
      <c r="E138" s="18">
        <v>8.7364317840181229</v>
      </c>
      <c r="F138" s="18">
        <v>-0.33039364196804755</v>
      </c>
      <c r="G138" s="18">
        <v>-1.1097848581623606</v>
      </c>
      <c r="H138" s="18">
        <v>5.5016896318757405E-2</v>
      </c>
      <c r="I138" s="18">
        <v>8.6277176718966988</v>
      </c>
      <c r="J138" s="18">
        <v>8.845145896139547</v>
      </c>
      <c r="K138" s="18">
        <v>0.3027505309619849</v>
      </c>
      <c r="L138" s="18">
        <v>8.1381927452848419</v>
      </c>
      <c r="M138" s="18">
        <v>9.3346708227514039</v>
      </c>
    </row>
    <row r="139" spans="2:13" x14ac:dyDescent="0.15">
      <c r="B139" s="9" t="s">
        <v>258</v>
      </c>
      <c r="C139" s="15">
        <v>1</v>
      </c>
      <c r="D139" s="18">
        <v>8.4815660137730866</v>
      </c>
      <c r="E139" s="18">
        <v>8.7527313709121515</v>
      </c>
      <c r="F139" s="18">
        <v>-0.27116535713906487</v>
      </c>
      <c r="G139" s="18">
        <v>-0.91083837333717965</v>
      </c>
      <c r="H139" s="18">
        <v>4.8031744045561708E-2</v>
      </c>
      <c r="I139" s="18">
        <v>8.6578200117307276</v>
      </c>
      <c r="J139" s="18">
        <v>8.8476427300935754</v>
      </c>
      <c r="K139" s="18">
        <v>0.30155940302579393</v>
      </c>
      <c r="L139" s="18">
        <v>8.1568460166770986</v>
      </c>
      <c r="M139" s="18">
        <v>9.3486167251472043</v>
      </c>
    </row>
    <row r="140" spans="2:13" x14ac:dyDescent="0.15">
      <c r="B140" s="9" t="s">
        <v>259</v>
      </c>
      <c r="C140" s="15">
        <v>1</v>
      </c>
      <c r="D140" s="18">
        <v>9.2478288163871749</v>
      </c>
      <c r="E140" s="18">
        <v>9.394385106475589</v>
      </c>
      <c r="F140" s="18">
        <v>-0.14655629008841409</v>
      </c>
      <c r="G140" s="18">
        <v>-0.49227930247005763</v>
      </c>
      <c r="H140" s="18">
        <v>4.8932944211059676E-2</v>
      </c>
      <c r="I140" s="18">
        <v>9.2976929638914054</v>
      </c>
      <c r="J140" s="18">
        <v>9.4910772490597726</v>
      </c>
      <c r="K140" s="18">
        <v>0.30170425609589524</v>
      </c>
      <c r="L140" s="18">
        <v>8.7982135206651861</v>
      </c>
      <c r="M140" s="18">
        <v>9.9905566922859919</v>
      </c>
    </row>
    <row r="141" spans="2:13" x14ac:dyDescent="0.15">
      <c r="B141" s="9" t="s">
        <v>260</v>
      </c>
      <c r="C141" s="15">
        <v>1</v>
      </c>
      <c r="D141" s="18">
        <v>8.6469926289510823</v>
      </c>
      <c r="E141" s="18">
        <v>8.9942523917247783</v>
      </c>
      <c r="F141" s="18">
        <v>-0.34725976277369597</v>
      </c>
      <c r="G141" s="18">
        <v>-1.1664377809442583</v>
      </c>
      <c r="H141" s="18">
        <v>4.4143954504940373E-2</v>
      </c>
      <c r="I141" s="18">
        <v>8.9070233559077039</v>
      </c>
      <c r="J141" s="18">
        <v>9.0814814275418527</v>
      </c>
      <c r="K141" s="18">
        <v>0.30096463884740532</v>
      </c>
      <c r="L141" s="18">
        <v>8.3995422993438389</v>
      </c>
      <c r="M141" s="18">
        <v>9.5889624841057177</v>
      </c>
    </row>
    <row r="142" spans="2:13" x14ac:dyDescent="0.15">
      <c r="B142" s="9" t="s">
        <v>261</v>
      </c>
      <c r="C142" s="15">
        <v>1</v>
      </c>
      <c r="D142" s="18">
        <v>8.6410024771425231</v>
      </c>
      <c r="E142" s="18">
        <v>8.9317725327548469</v>
      </c>
      <c r="F142" s="18">
        <v>-0.29077005561232383</v>
      </c>
      <c r="G142" s="18">
        <v>-0.97669011728982402</v>
      </c>
      <c r="H142" s="18">
        <v>4.2653836375161042E-2</v>
      </c>
      <c r="I142" s="18">
        <v>8.8474879899985304</v>
      </c>
      <c r="J142" s="18">
        <v>9.0160570755111635</v>
      </c>
      <c r="K142" s="18">
        <v>0.30074968807088376</v>
      </c>
      <c r="L142" s="18">
        <v>8.3374871859408675</v>
      </c>
      <c r="M142" s="18">
        <v>9.5260578795688264</v>
      </c>
    </row>
    <row r="143" spans="2:13" x14ac:dyDescent="0.15">
      <c r="B143" s="9" t="s">
        <v>262</v>
      </c>
      <c r="C143" s="15">
        <v>1</v>
      </c>
      <c r="D143" s="18">
        <v>8.6229936103024496</v>
      </c>
      <c r="E143" s="18">
        <v>8.9419747059277235</v>
      </c>
      <c r="F143" s="18">
        <v>-0.31898109562527388</v>
      </c>
      <c r="G143" s="18">
        <v>-1.0714503700988423</v>
      </c>
      <c r="H143" s="18">
        <v>4.3970567991762889E-2</v>
      </c>
      <c r="I143" s="18">
        <v>8.8550882841455216</v>
      </c>
      <c r="J143" s="18">
        <v>9.0288611277099253</v>
      </c>
      <c r="K143" s="18">
        <v>0.30093925627397489</v>
      </c>
      <c r="L143" s="18">
        <v>8.3473147698463652</v>
      </c>
      <c r="M143" s="18">
        <v>9.5366346420090817</v>
      </c>
    </row>
    <row r="144" spans="2:13" x14ac:dyDescent="0.15">
      <c r="B144" s="9" t="s">
        <v>263</v>
      </c>
      <c r="C144" s="15">
        <v>1</v>
      </c>
      <c r="D144" s="18">
        <v>9.0854571898294925</v>
      </c>
      <c r="E144" s="18">
        <v>9.1533343491787669</v>
      </c>
      <c r="F144" s="18">
        <v>-6.7877159349274407E-2</v>
      </c>
      <c r="G144" s="18">
        <v>-0.22799786101266301</v>
      </c>
      <c r="H144" s="18">
        <v>5.2210454029981583E-2</v>
      </c>
      <c r="I144" s="18">
        <v>9.050165804002388</v>
      </c>
      <c r="J144" s="18">
        <v>9.2565028943551457</v>
      </c>
      <c r="K144" s="18">
        <v>0.30225313336214016</v>
      </c>
      <c r="L144" s="18">
        <v>8.5560781746573298</v>
      </c>
      <c r="M144" s="18">
        <v>9.750590523700204</v>
      </c>
    </row>
    <row r="145" spans="2:13" x14ac:dyDescent="0.15">
      <c r="B145" s="9" t="s">
        <v>264</v>
      </c>
      <c r="C145" s="15">
        <v>1</v>
      </c>
      <c r="D145" s="18">
        <v>9.6000147941780227</v>
      </c>
      <c r="E145" s="18">
        <v>9.3275545823294017</v>
      </c>
      <c r="F145" s="18">
        <v>0.27246021184862101</v>
      </c>
      <c r="G145" s="18">
        <v>0.91518776136300795</v>
      </c>
      <c r="H145" s="18">
        <v>5.5493222177053908E-2</v>
      </c>
      <c r="I145" s="18">
        <v>9.2178992440351095</v>
      </c>
      <c r="J145" s="18">
        <v>9.4372099206236939</v>
      </c>
      <c r="K145" s="18">
        <v>0.30283745281059071</v>
      </c>
      <c r="L145" s="18">
        <v>8.7291437848778468</v>
      </c>
      <c r="M145" s="18">
        <v>9.9259653797809566</v>
      </c>
    </row>
    <row r="146" spans="2:13" x14ac:dyDescent="0.15">
      <c r="B146" s="9" t="s">
        <v>265</v>
      </c>
      <c r="C146" s="15">
        <v>1</v>
      </c>
      <c r="D146" s="18">
        <v>9.3712680360824656</v>
      </c>
      <c r="E146" s="18">
        <v>9.333573745216194</v>
      </c>
      <c r="F146" s="18">
        <v>3.7694290866271629E-2</v>
      </c>
      <c r="G146" s="18">
        <v>0.1266142804485374</v>
      </c>
      <c r="H146" s="18">
        <v>6.4895844073390427E-2</v>
      </c>
      <c r="I146" s="18">
        <v>9.2053387021499109</v>
      </c>
      <c r="J146" s="18">
        <v>9.4618087882824771</v>
      </c>
      <c r="K146" s="18">
        <v>0.30470066572820725</v>
      </c>
      <c r="L146" s="18">
        <v>8.731481214486589</v>
      </c>
      <c r="M146" s="18">
        <v>9.935666275945799</v>
      </c>
    </row>
    <row r="147" spans="2:13" x14ac:dyDescent="0.15">
      <c r="B147" s="9" t="s">
        <v>266</v>
      </c>
      <c r="C147" s="15">
        <v>1</v>
      </c>
      <c r="D147" s="18">
        <v>8.5442245304672682</v>
      </c>
      <c r="E147" s="18">
        <v>8.7697549198349094</v>
      </c>
      <c r="F147" s="18">
        <v>-0.22553038936764125</v>
      </c>
      <c r="G147" s="18">
        <v>-0.75755153666024644</v>
      </c>
      <c r="H147" s="18">
        <v>6.2065594906632E-2</v>
      </c>
      <c r="I147" s="18">
        <v>8.6471124864182851</v>
      </c>
      <c r="J147" s="18">
        <v>8.8923973532515337</v>
      </c>
      <c r="K147" s="18">
        <v>0.30411044570735979</v>
      </c>
      <c r="L147" s="18">
        <v>8.1688286716442349</v>
      </c>
      <c r="M147" s="18">
        <v>9.3706811680255839</v>
      </c>
    </row>
    <row r="148" spans="2:13" x14ac:dyDescent="0.15">
      <c r="B148" s="9" t="s">
        <v>267</v>
      </c>
      <c r="C148" s="15">
        <v>1</v>
      </c>
      <c r="D148" s="18">
        <v>8.475328987317539</v>
      </c>
      <c r="E148" s="18">
        <v>8.894412047344689</v>
      </c>
      <c r="F148" s="18">
        <v>-0.41908306002715001</v>
      </c>
      <c r="G148" s="18">
        <v>-1.4076906309700048</v>
      </c>
      <c r="H148" s="18">
        <v>6.0890518646379184E-2</v>
      </c>
      <c r="I148" s="18">
        <v>8.7740915801031143</v>
      </c>
      <c r="J148" s="18">
        <v>9.0147325145862638</v>
      </c>
      <c r="K148" s="18">
        <v>0.30387280295913277</v>
      </c>
      <c r="L148" s="18">
        <v>8.2939553843560923</v>
      </c>
      <c r="M148" s="18">
        <v>9.4948687103332858</v>
      </c>
    </row>
    <row r="149" spans="2:13" x14ac:dyDescent="0.15">
      <c r="B149" s="9" t="s">
        <v>268</v>
      </c>
      <c r="C149" s="15">
        <v>1</v>
      </c>
      <c r="D149" s="18">
        <v>8.5203880823127562</v>
      </c>
      <c r="E149" s="18">
        <v>8.9531220451007787</v>
      </c>
      <c r="F149" s="18">
        <v>-0.43273396278802245</v>
      </c>
      <c r="G149" s="18">
        <v>-1.453543708208483</v>
      </c>
      <c r="H149" s="18">
        <v>4.3303574731916573E-2</v>
      </c>
      <c r="I149" s="18">
        <v>8.8675536107894626</v>
      </c>
      <c r="J149" s="18">
        <v>9.0386904794120948</v>
      </c>
      <c r="K149" s="18">
        <v>0.30084252475635415</v>
      </c>
      <c r="L149" s="18">
        <v>8.3586532517729371</v>
      </c>
      <c r="M149" s="18">
        <v>9.5475908384286203</v>
      </c>
    </row>
    <row r="150" spans="2:13" x14ac:dyDescent="0.15">
      <c r="B150" s="9" t="s">
        <v>269</v>
      </c>
      <c r="C150" s="15">
        <v>1</v>
      </c>
      <c r="D150" s="18">
        <v>8.5024855625439635</v>
      </c>
      <c r="E150" s="18">
        <v>8.9372115223705855</v>
      </c>
      <c r="F150" s="18">
        <v>-0.43472595982662199</v>
      </c>
      <c r="G150" s="18">
        <v>-1.460234781734516</v>
      </c>
      <c r="H150" s="18">
        <v>5.0733798237778877E-2</v>
      </c>
      <c r="I150" s="18">
        <v>8.8369608684985099</v>
      </c>
      <c r="J150" s="18">
        <v>9.037462176242661</v>
      </c>
      <c r="K150" s="18">
        <v>0.30200156191789229</v>
      </c>
      <c r="L150" s="18">
        <v>8.3404524563381131</v>
      </c>
      <c r="M150" s="18">
        <v>9.5339705884030579</v>
      </c>
    </row>
    <row r="151" spans="2:13" x14ac:dyDescent="0.15">
      <c r="B151" s="9" t="s">
        <v>270</v>
      </c>
      <c r="C151" s="15">
        <v>1</v>
      </c>
      <c r="D151" s="18">
        <v>8.3834332012367128</v>
      </c>
      <c r="E151" s="18">
        <v>8.4539315381834061</v>
      </c>
      <c r="F151" s="18">
        <v>-7.0498336946693385E-2</v>
      </c>
      <c r="G151" s="18">
        <v>-0.23680233797185127</v>
      </c>
      <c r="H151" s="18">
        <v>9.7522895854167957E-2</v>
      </c>
      <c r="I151" s="18">
        <v>8.2612250108491594</v>
      </c>
      <c r="J151" s="18">
        <v>8.6466380655176529</v>
      </c>
      <c r="K151" s="18">
        <v>0.31327582149441052</v>
      </c>
      <c r="L151" s="18">
        <v>7.8348943866590455</v>
      </c>
      <c r="M151" s="18">
        <v>9.0729686897077677</v>
      </c>
    </row>
    <row r="152" spans="2:13" x14ac:dyDescent="0.15">
      <c r="B152" s="9" t="s">
        <v>271</v>
      </c>
      <c r="C152" s="15">
        <v>1</v>
      </c>
      <c r="D152" s="18">
        <v>8.3834332012367128</v>
      </c>
      <c r="E152" s="18">
        <v>8.3042229368170482</v>
      </c>
      <c r="F152" s="18">
        <v>7.9210264419664611E-2</v>
      </c>
      <c r="G152" s="18">
        <v>0.26606550761797654</v>
      </c>
      <c r="H152" s="18">
        <v>0.11448446702843977</v>
      </c>
      <c r="I152" s="18">
        <v>8.0780001213281274</v>
      </c>
      <c r="J152" s="18">
        <v>8.5304457523059689</v>
      </c>
      <c r="K152" s="18">
        <v>0.31896350623229736</v>
      </c>
      <c r="L152" s="18">
        <v>7.6739468453000814</v>
      </c>
      <c r="M152" s="18">
        <v>8.9344990283340149</v>
      </c>
    </row>
    <row r="153" spans="2:13" x14ac:dyDescent="0.15">
      <c r="B153" s="9" t="s">
        <v>272</v>
      </c>
      <c r="C153" s="15">
        <v>1</v>
      </c>
      <c r="D153" s="18">
        <v>8.6417090661138047</v>
      </c>
      <c r="E153" s="18">
        <v>8.97943656043579</v>
      </c>
      <c r="F153" s="18">
        <v>-0.33772749432198523</v>
      </c>
      <c r="G153" s="18">
        <v>-1.1344191042874283</v>
      </c>
      <c r="H153" s="18">
        <v>7.4913218347991764E-2</v>
      </c>
      <c r="I153" s="18">
        <v>8.8314070537970508</v>
      </c>
      <c r="J153" s="18">
        <v>9.1274660670745291</v>
      </c>
      <c r="K153" s="18">
        <v>0.30699025294049448</v>
      </c>
      <c r="L153" s="18">
        <v>8.3728197752032365</v>
      </c>
      <c r="M153" s="18">
        <v>9.5860533456683434</v>
      </c>
    </row>
    <row r="154" spans="2:13" x14ac:dyDescent="0.15">
      <c r="B154" s="9" t="s">
        <v>273</v>
      </c>
      <c r="C154" s="15">
        <v>1</v>
      </c>
      <c r="D154" s="18">
        <v>8.6258682080418936</v>
      </c>
      <c r="E154" s="18">
        <v>8.9440766631120141</v>
      </c>
      <c r="F154" s="18">
        <v>-0.31820845507012052</v>
      </c>
      <c r="G154" s="18">
        <v>-1.0688550877447276</v>
      </c>
      <c r="H154" s="18">
        <v>4.5037770680311541E-2</v>
      </c>
      <c r="I154" s="18">
        <v>8.8550814347539752</v>
      </c>
      <c r="J154" s="18">
        <v>9.033071891470053</v>
      </c>
      <c r="K154" s="18">
        <v>0.30109703735684151</v>
      </c>
      <c r="L154" s="18">
        <v>8.3491049495317213</v>
      </c>
      <c r="M154" s="18">
        <v>9.5390483766923069</v>
      </c>
    </row>
    <row r="155" spans="2:13" x14ac:dyDescent="0.15">
      <c r="B155" s="9" t="s">
        <v>274</v>
      </c>
      <c r="C155" s="15">
        <v>1</v>
      </c>
      <c r="D155" s="18">
        <v>8.3128713943426149</v>
      </c>
      <c r="E155" s="18">
        <v>8.464371064936369</v>
      </c>
      <c r="F155" s="18">
        <v>-0.15149967059375413</v>
      </c>
      <c r="G155" s="18">
        <v>-0.5088840070893188</v>
      </c>
      <c r="H155" s="18">
        <v>4.1307195186756997E-2</v>
      </c>
      <c r="I155" s="18">
        <v>8.3827475029139578</v>
      </c>
      <c r="J155" s="18">
        <v>8.5459946269587803</v>
      </c>
      <c r="K155" s="18">
        <v>0.30056165672189744</v>
      </c>
      <c r="L155" s="18">
        <v>7.8704572705458054</v>
      </c>
      <c r="M155" s="18">
        <v>9.0582848593269318</v>
      </c>
    </row>
    <row r="156" spans="2:13" x14ac:dyDescent="0.15">
      <c r="B156" s="9" t="s">
        <v>275</v>
      </c>
      <c r="C156" s="15">
        <v>1</v>
      </c>
      <c r="D156" s="18">
        <v>8.2308435641982349</v>
      </c>
      <c r="E156" s="18">
        <v>8.2844071163791302</v>
      </c>
      <c r="F156" s="18">
        <v>-5.3563552180895257E-2</v>
      </c>
      <c r="G156" s="18">
        <v>-0.17991877448263938</v>
      </c>
      <c r="H156" s="18">
        <v>4.5882339689728747E-2</v>
      </c>
      <c r="I156" s="18">
        <v>8.1937430085290153</v>
      </c>
      <c r="J156" s="18">
        <v>8.3750712242292451</v>
      </c>
      <c r="K156" s="18">
        <v>0.30122452458692428</v>
      </c>
      <c r="L156" s="18">
        <v>7.6891834863522073</v>
      </c>
      <c r="M156" s="18">
        <v>8.879630746406054</v>
      </c>
    </row>
    <row r="157" spans="2:13" x14ac:dyDescent="0.15">
      <c r="B157" s="9" t="s">
        <v>276</v>
      </c>
      <c r="C157" s="15">
        <v>1</v>
      </c>
      <c r="D157" s="18">
        <v>8.7498909555352586</v>
      </c>
      <c r="E157" s="18">
        <v>8.5979045474634379</v>
      </c>
      <c r="F157" s="18">
        <v>0.15198640807182073</v>
      </c>
      <c r="G157" s="18">
        <v>0.51051894739822068</v>
      </c>
      <c r="H157" s="18">
        <v>4.339399733150761E-2</v>
      </c>
      <c r="I157" s="18">
        <v>8.5121574369037702</v>
      </c>
      <c r="J157" s="18">
        <v>8.6836516580231056</v>
      </c>
      <c r="K157" s="18">
        <v>0.30085555358281452</v>
      </c>
      <c r="L157" s="18">
        <v>8.0034100090028204</v>
      </c>
      <c r="M157" s="18">
        <v>9.1923990859240554</v>
      </c>
    </row>
    <row r="158" spans="2:13" x14ac:dyDescent="0.15">
      <c r="B158" s="9" t="s">
        <v>277</v>
      </c>
      <c r="C158" s="15">
        <v>1</v>
      </c>
      <c r="D158" s="18">
        <v>9.5696219157798659</v>
      </c>
      <c r="E158" s="18">
        <v>9.6515873702511232</v>
      </c>
      <c r="F158" s="18">
        <v>-8.196545447125736E-2</v>
      </c>
      <c r="G158" s="18">
        <v>-0.27532012941518691</v>
      </c>
      <c r="H158" s="18">
        <v>7.8037515357075232E-2</v>
      </c>
      <c r="I158" s="18">
        <v>9.4973842115514202</v>
      </c>
      <c r="J158" s="18">
        <v>9.8057905289508263</v>
      </c>
      <c r="K158" s="18">
        <v>0.30776757288629458</v>
      </c>
      <c r="L158" s="18">
        <v>9.0434345905623879</v>
      </c>
      <c r="M158" s="18">
        <v>10.259740149939859</v>
      </c>
    </row>
    <row r="159" spans="2:13" x14ac:dyDescent="0.15">
      <c r="B159" s="9" t="s">
        <v>278</v>
      </c>
      <c r="C159" s="15">
        <v>1</v>
      </c>
      <c r="D159" s="18">
        <v>9.3658044746002549</v>
      </c>
      <c r="E159" s="18">
        <v>9.2604528974431481</v>
      </c>
      <c r="F159" s="18">
        <v>0.10535157715710675</v>
      </c>
      <c r="G159" s="18">
        <v>0.35387359277267155</v>
      </c>
      <c r="H159" s="18">
        <v>6.5092791867733743E-2</v>
      </c>
      <c r="I159" s="18">
        <v>9.1318286829399273</v>
      </c>
      <c r="J159" s="18">
        <v>9.389077111946369</v>
      </c>
      <c r="K159" s="18">
        <v>0.30474267287393636</v>
      </c>
      <c r="L159" s="18">
        <v>8.6582773600400245</v>
      </c>
      <c r="M159" s="18">
        <v>9.8626284348462718</v>
      </c>
    </row>
    <row r="160" spans="2:13" x14ac:dyDescent="0.15">
      <c r="B160" s="9" t="s">
        <v>279</v>
      </c>
      <c r="C160" s="15">
        <v>1</v>
      </c>
      <c r="D160" s="18">
        <v>8.1484456662432354</v>
      </c>
      <c r="E160" s="18">
        <v>8.2824267054126075</v>
      </c>
      <c r="F160" s="18">
        <v>-0.1339810391693721</v>
      </c>
      <c r="G160" s="18">
        <v>-0.45003931572450523</v>
      </c>
      <c r="H160" s="18">
        <v>7.9790842815734078E-2</v>
      </c>
      <c r="I160" s="18">
        <v>8.1247589485497897</v>
      </c>
      <c r="J160" s="18">
        <v>8.4400944622754253</v>
      </c>
      <c r="K160" s="18">
        <v>0.30821681283547797</v>
      </c>
      <c r="L160" s="18">
        <v>7.6733862216643409</v>
      </c>
      <c r="M160" s="18">
        <v>8.8914671891608741</v>
      </c>
    </row>
    <row r="161" spans="2:13" x14ac:dyDescent="0.15">
      <c r="B161" s="9" t="s">
        <v>280</v>
      </c>
      <c r="C161" s="15">
        <v>1</v>
      </c>
      <c r="D161" s="18">
        <v>9.9806800483660343</v>
      </c>
      <c r="E161" s="18">
        <v>9.8514113399434855</v>
      </c>
      <c r="F161" s="18">
        <v>0.12926870842254878</v>
      </c>
      <c r="G161" s="18">
        <v>0.43421070207950291</v>
      </c>
      <c r="H161" s="18">
        <v>8.1883426360540676E-2</v>
      </c>
      <c r="I161" s="18">
        <v>9.6896086104207146</v>
      </c>
      <c r="J161" s="18">
        <v>10.013214069466256</v>
      </c>
      <c r="K161" s="18">
        <v>0.30876515449408626</v>
      </c>
      <c r="L161" s="18">
        <v>9.2412873258519337</v>
      </c>
      <c r="M161" s="18">
        <v>10.461535354035037</v>
      </c>
    </row>
    <row r="162" spans="2:13" x14ac:dyDescent="0.15">
      <c r="B162" s="9" t="s">
        <v>281</v>
      </c>
      <c r="C162" s="15">
        <v>1</v>
      </c>
      <c r="D162" s="18">
        <v>8.3140973354058065</v>
      </c>
      <c r="E162" s="18">
        <v>8.4635390581580427</v>
      </c>
      <c r="F162" s="18">
        <v>-0.14944172275223622</v>
      </c>
      <c r="G162" s="18">
        <v>-0.50197140629046522</v>
      </c>
      <c r="H162" s="18">
        <v>7.3858761733494802E-2</v>
      </c>
      <c r="I162" s="18">
        <v>8.3175931716848517</v>
      </c>
      <c r="J162" s="18">
        <v>8.6094849446312338</v>
      </c>
      <c r="K162" s="18">
        <v>0.30673464395470562</v>
      </c>
      <c r="L162" s="18">
        <v>7.8574273596497433</v>
      </c>
      <c r="M162" s="18">
        <v>9.0696507566663414</v>
      </c>
    </row>
    <row r="163" spans="2:13" x14ac:dyDescent="0.15">
      <c r="B163" s="9" t="s">
        <v>282</v>
      </c>
      <c r="C163" s="15">
        <v>1</v>
      </c>
      <c r="D163" s="18">
        <v>8.3072126266283082</v>
      </c>
      <c r="E163" s="18">
        <v>8.1619341521072375</v>
      </c>
      <c r="F163" s="18">
        <v>0.14527847452107068</v>
      </c>
      <c r="G163" s="18">
        <v>0.48798714854205011</v>
      </c>
      <c r="H163" s="18">
        <v>4.366457479542328E-2</v>
      </c>
      <c r="I163" s="18">
        <v>8.0756523769132862</v>
      </c>
      <c r="J163" s="18">
        <v>8.2482159273011888</v>
      </c>
      <c r="K163" s="18">
        <v>0.3008946995366984</v>
      </c>
      <c r="L163" s="18">
        <v>7.5673622607258926</v>
      </c>
      <c r="M163" s="18">
        <v>8.7565060434885815</v>
      </c>
    </row>
    <row r="164" spans="2:13" x14ac:dyDescent="0.15">
      <c r="B164" s="9" t="s">
        <v>283</v>
      </c>
      <c r="C164" s="15">
        <v>1</v>
      </c>
      <c r="D164" s="18">
        <v>8.1956095672887752</v>
      </c>
      <c r="E164" s="18">
        <v>8.1820278313955601</v>
      </c>
      <c r="F164" s="18">
        <v>1.3581735893215097E-2</v>
      </c>
      <c r="G164" s="18">
        <v>4.5620747276087267E-2</v>
      </c>
      <c r="H164" s="18">
        <v>0.1175683147115814</v>
      </c>
      <c r="I164" s="18">
        <v>7.9497112922467661</v>
      </c>
      <c r="J164" s="18">
        <v>8.4143443705443541</v>
      </c>
      <c r="K164" s="18">
        <v>0.32008332312280241</v>
      </c>
      <c r="L164" s="18">
        <v>7.549538966946356</v>
      </c>
      <c r="M164" s="18">
        <v>8.8145166958447643</v>
      </c>
    </row>
    <row r="165" spans="2:13" x14ac:dyDescent="0.15">
      <c r="B165" s="9" t="s">
        <v>284</v>
      </c>
      <c r="C165" s="15">
        <v>1</v>
      </c>
      <c r="D165" s="18">
        <v>8.2915465098839096</v>
      </c>
      <c r="E165" s="18">
        <v>8.1885334829355543</v>
      </c>
      <c r="F165" s="18">
        <v>0.10301302694835535</v>
      </c>
      <c r="G165" s="18">
        <v>0.34601845489451671</v>
      </c>
      <c r="H165" s="18">
        <v>5.7063382127801501E-2</v>
      </c>
      <c r="I165" s="18">
        <v>8.0757754878875048</v>
      </c>
      <c r="J165" s="18">
        <v>8.3012914779836038</v>
      </c>
      <c r="K165" s="18">
        <v>0.30312910565809803</v>
      </c>
      <c r="L165" s="18">
        <v>7.5895463756140149</v>
      </c>
      <c r="M165" s="18">
        <v>8.7875205902570936</v>
      </c>
    </row>
    <row r="166" spans="2:13" x14ac:dyDescent="0.15">
      <c r="B166" s="9" t="s">
        <v>285</v>
      </c>
      <c r="C166" s="15">
        <v>1</v>
      </c>
      <c r="D166" s="18">
        <v>8.1718820061278201</v>
      </c>
      <c r="E166" s="18">
        <v>7.9836223320811506</v>
      </c>
      <c r="F166" s="18">
        <v>0.18825967404666955</v>
      </c>
      <c r="G166" s="18">
        <v>0.63236003700029086</v>
      </c>
      <c r="H166" s="18">
        <v>6.6662749793057488E-2</v>
      </c>
      <c r="I166" s="18">
        <v>7.8518958600290718</v>
      </c>
      <c r="J166" s="18">
        <v>8.1153488041332302</v>
      </c>
      <c r="K166" s="18">
        <v>0.30508186987624597</v>
      </c>
      <c r="L166" s="18">
        <v>7.3807765369316307</v>
      </c>
      <c r="M166" s="18">
        <v>8.5864681272306704</v>
      </c>
    </row>
    <row r="167" spans="2:13" x14ac:dyDescent="0.15">
      <c r="B167" s="9" t="s">
        <v>286</v>
      </c>
      <c r="C167" s="15">
        <v>1</v>
      </c>
      <c r="D167" s="18">
        <v>8.1440984633385245</v>
      </c>
      <c r="E167" s="18">
        <v>8.1767835430364304</v>
      </c>
      <c r="F167" s="18">
        <v>-3.2685079697905906E-2</v>
      </c>
      <c r="G167" s="18">
        <v>-0.10978845210366962</v>
      </c>
      <c r="H167" s="18">
        <v>5.2223470448717113E-2</v>
      </c>
      <c r="I167" s="18">
        <v>8.0735892772451034</v>
      </c>
      <c r="J167" s="18">
        <v>8.2799778088277574</v>
      </c>
      <c r="K167" s="18">
        <v>0.30225538205782687</v>
      </c>
      <c r="L167" s="18">
        <v>7.5795229250626841</v>
      </c>
      <c r="M167" s="18">
        <v>8.7740441610101758</v>
      </c>
    </row>
    <row r="168" spans="2:13" x14ac:dyDescent="0.15">
      <c r="B168" s="9" t="s">
        <v>287</v>
      </c>
      <c r="C168" s="15">
        <v>1</v>
      </c>
      <c r="D168" s="18">
        <v>8.6738550014296152</v>
      </c>
      <c r="E168" s="18">
        <v>8.5051887668662793</v>
      </c>
      <c r="F168" s="18">
        <v>0.16866623456333585</v>
      </c>
      <c r="G168" s="18">
        <v>0.56654611174313596</v>
      </c>
      <c r="H168" s="18">
        <v>4.0940173762307241E-2</v>
      </c>
      <c r="I168" s="18">
        <v>8.4242904440150745</v>
      </c>
      <c r="J168" s="18">
        <v>8.5860870897174841</v>
      </c>
      <c r="K168" s="18">
        <v>0.30051143563083049</v>
      </c>
      <c r="L168" s="18">
        <v>7.9113742100134621</v>
      </c>
      <c r="M168" s="18">
        <v>9.0990033237190957</v>
      </c>
    </row>
    <row r="169" spans="2:13" x14ac:dyDescent="0.15">
      <c r="B169" s="9" t="s">
        <v>288</v>
      </c>
      <c r="C169" s="15">
        <v>1</v>
      </c>
      <c r="D169" s="18">
        <v>9.8013440788674249</v>
      </c>
      <c r="E169" s="18">
        <v>9.2851770960615312</v>
      </c>
      <c r="F169" s="18">
        <v>0.51616698280589368</v>
      </c>
      <c r="G169" s="18">
        <v>1.7337933574906119</v>
      </c>
      <c r="H169" s="18">
        <v>5.7216404899404112E-2</v>
      </c>
      <c r="I169" s="18">
        <v>9.1721167260003078</v>
      </c>
      <c r="J169" s="18">
        <v>9.3982374661227546</v>
      </c>
      <c r="K169" s="18">
        <v>0.30315794910710725</v>
      </c>
      <c r="L169" s="18">
        <v>8.6861329937046587</v>
      </c>
      <c r="M169" s="18">
        <v>9.8842211984184036</v>
      </c>
    </row>
    <row r="170" spans="2:13" x14ac:dyDescent="0.15">
      <c r="B170" s="9" t="s">
        <v>289</v>
      </c>
      <c r="C170" s="15">
        <v>1</v>
      </c>
      <c r="D170" s="18">
        <v>9.4551671341215346</v>
      </c>
      <c r="E170" s="18">
        <v>9.2621725955869234</v>
      </c>
      <c r="F170" s="18">
        <v>0.19299453853461124</v>
      </c>
      <c r="G170" s="18">
        <v>0.64826434097801855</v>
      </c>
      <c r="H170" s="18">
        <v>6.0022352875715307E-2</v>
      </c>
      <c r="I170" s="18">
        <v>9.1435676353485995</v>
      </c>
      <c r="J170" s="18">
        <v>9.3807775558252473</v>
      </c>
      <c r="K170" s="18">
        <v>0.30370002957186515</v>
      </c>
      <c r="L170" s="18">
        <v>8.6620573350883223</v>
      </c>
      <c r="M170" s="18">
        <v>9.8622878560855245</v>
      </c>
    </row>
    <row r="171" spans="2:13" x14ac:dyDescent="0.15">
      <c r="B171" s="9" t="s">
        <v>290</v>
      </c>
      <c r="C171" s="15">
        <v>1</v>
      </c>
      <c r="D171" s="18">
        <v>8.2915465098839096</v>
      </c>
      <c r="E171" s="18">
        <v>8.0907443773198349</v>
      </c>
      <c r="F171" s="18">
        <v>0.20080213256407475</v>
      </c>
      <c r="G171" s="18">
        <v>0.67448987480174583</v>
      </c>
      <c r="H171" s="18">
        <v>4.7103274006980264E-2</v>
      </c>
      <c r="I171" s="18">
        <v>7.997667687169737</v>
      </c>
      <c r="J171" s="18">
        <v>8.1838210674699319</v>
      </c>
      <c r="K171" s="18">
        <v>0.30141291203163734</v>
      </c>
      <c r="L171" s="18">
        <v>7.4951484912196475</v>
      </c>
      <c r="M171" s="18">
        <v>8.6863402634200213</v>
      </c>
    </row>
    <row r="172" spans="2:13" x14ac:dyDescent="0.15">
      <c r="B172" s="9" t="s">
        <v>291</v>
      </c>
      <c r="C172" s="15">
        <v>1</v>
      </c>
      <c r="D172" s="18">
        <v>8.2566073446261576</v>
      </c>
      <c r="E172" s="18">
        <v>8.1578127089764507</v>
      </c>
      <c r="F172" s="18">
        <v>9.8794635649706919E-2</v>
      </c>
      <c r="G172" s="18">
        <v>0.33184897281502612</v>
      </c>
      <c r="H172" s="18">
        <v>4.5861936525136052E-2</v>
      </c>
      <c r="I172" s="18">
        <v>8.0671889180484371</v>
      </c>
      <c r="J172" s="18">
        <v>8.2484364999044644</v>
      </c>
      <c r="K172" s="18">
        <v>0.30122141746404835</v>
      </c>
      <c r="L172" s="18">
        <v>7.5625952186652752</v>
      </c>
      <c r="M172" s="18">
        <v>8.7530301992876254</v>
      </c>
    </row>
    <row r="173" spans="2:13" x14ac:dyDescent="0.15">
      <c r="B173" s="9" t="s">
        <v>292</v>
      </c>
      <c r="C173" s="15">
        <v>1</v>
      </c>
      <c r="D173" s="18">
        <v>8.3645081037505893</v>
      </c>
      <c r="E173" s="18">
        <v>8.0529794862681658</v>
      </c>
      <c r="F173" s="18">
        <v>0.31152861748242344</v>
      </c>
      <c r="G173" s="18">
        <v>1.0464176626004298</v>
      </c>
      <c r="H173" s="18">
        <v>7.7458080081521663E-2</v>
      </c>
      <c r="I173" s="18">
        <v>7.8999212993085743</v>
      </c>
      <c r="J173" s="18">
        <v>8.2060376732277565</v>
      </c>
      <c r="K173" s="18">
        <v>0.30762116196245393</v>
      </c>
      <c r="L173" s="18">
        <v>7.4451160164942971</v>
      </c>
      <c r="M173" s="18">
        <v>8.6608429560420355</v>
      </c>
    </row>
    <row r="174" spans="2:13" x14ac:dyDescent="0.15">
      <c r="B174" s="9" t="s">
        <v>293</v>
      </c>
      <c r="C174" s="15">
        <v>1</v>
      </c>
      <c r="D174" s="18">
        <v>8.1521980158617868</v>
      </c>
      <c r="E174" s="18">
        <v>8.0375061260280543</v>
      </c>
      <c r="F174" s="18">
        <v>0.11469188983373257</v>
      </c>
      <c r="G174" s="18">
        <v>0.38524749427173177</v>
      </c>
      <c r="H174" s="18">
        <v>5.2270654744645255E-2</v>
      </c>
      <c r="I174" s="18">
        <v>7.9342186234461938</v>
      </c>
      <c r="J174" s="18">
        <v>8.1407936286099147</v>
      </c>
      <c r="K174" s="18">
        <v>0.30226353809986539</v>
      </c>
      <c r="L174" s="18">
        <v>7.4402293916077626</v>
      </c>
      <c r="M174" s="18">
        <v>8.6347828604483468</v>
      </c>
    </row>
    <row r="175" spans="2:13" x14ac:dyDescent="0.15">
      <c r="B175" s="9" t="s">
        <v>294</v>
      </c>
      <c r="C175" s="15">
        <v>1</v>
      </c>
      <c r="D175" s="18">
        <v>8.3182543287988455</v>
      </c>
      <c r="E175" s="18">
        <v>8.0699038478368088</v>
      </c>
      <c r="F175" s="18">
        <v>0.24835048096203671</v>
      </c>
      <c r="G175" s="18">
        <v>0.83420371423389195</v>
      </c>
      <c r="H175" s="18">
        <v>5.1711343392485086E-2</v>
      </c>
      <c r="I175" s="18">
        <v>7.967721551857248</v>
      </c>
      <c r="J175" s="18">
        <v>8.1720861438163706</v>
      </c>
      <c r="K175" s="18">
        <v>0.3021673181412417</v>
      </c>
      <c r="L175" s="18">
        <v>7.4728172453227142</v>
      </c>
      <c r="M175" s="18">
        <v>8.6669904503509034</v>
      </c>
    </row>
    <row r="176" spans="2:13" x14ac:dyDescent="0.15">
      <c r="B176" s="9" t="s">
        <v>295</v>
      </c>
      <c r="C176" s="15">
        <v>1</v>
      </c>
      <c r="D176" s="18">
        <v>8.2942996088572354</v>
      </c>
      <c r="E176" s="18">
        <v>8.2750233069272312</v>
      </c>
      <c r="F176" s="18">
        <v>1.927630193000418E-2</v>
      </c>
      <c r="G176" s="18">
        <v>6.4748667304419263E-2</v>
      </c>
      <c r="H176" s="18">
        <v>5.9616885170297861E-2</v>
      </c>
      <c r="I176" s="18">
        <v>8.1572195562179388</v>
      </c>
      <c r="J176" s="18">
        <v>8.3928270576365236</v>
      </c>
      <c r="K176" s="18">
        <v>0.30362015432876549</v>
      </c>
      <c r="L176" s="18">
        <v>7.6750658809615659</v>
      </c>
      <c r="M176" s="18">
        <v>8.8749807328928974</v>
      </c>
    </row>
    <row r="177" spans="2:13" x14ac:dyDescent="0.15">
      <c r="B177" s="9" t="s">
        <v>296</v>
      </c>
      <c r="C177" s="15">
        <v>1</v>
      </c>
      <c r="D177" s="18">
        <v>8.9334003960563031</v>
      </c>
      <c r="E177" s="18">
        <v>8.8492394288129521</v>
      </c>
      <c r="F177" s="18">
        <v>8.4160967243350981E-2</v>
      </c>
      <c r="G177" s="18">
        <v>0.28269480774088906</v>
      </c>
      <c r="H177" s="18">
        <v>4.8293152641954239E-2</v>
      </c>
      <c r="I177" s="18">
        <v>8.7538115228002944</v>
      </c>
      <c r="J177" s="18">
        <v>8.9446673348256098</v>
      </c>
      <c r="K177" s="18">
        <v>0.30160115004640481</v>
      </c>
      <c r="L177" s="18">
        <v>8.2532715819150422</v>
      </c>
      <c r="M177" s="18">
        <v>9.445207275710862</v>
      </c>
    </row>
    <row r="178" spans="2:13" x14ac:dyDescent="0.15">
      <c r="B178" s="9" t="s">
        <v>297</v>
      </c>
      <c r="C178" s="15">
        <v>1</v>
      </c>
      <c r="D178" s="18">
        <v>9.6159388045295824</v>
      </c>
      <c r="E178" s="18">
        <v>9.631963028966144</v>
      </c>
      <c r="F178" s="18">
        <v>-1.6024224436561596E-2</v>
      </c>
      <c r="G178" s="18">
        <v>-5.3825011696838843E-2</v>
      </c>
      <c r="H178" s="18">
        <v>0.11034208613279098</v>
      </c>
      <c r="I178" s="18">
        <v>9.4139256127140332</v>
      </c>
      <c r="J178" s="18">
        <v>9.8500004452182548</v>
      </c>
      <c r="K178" s="18">
        <v>0.31750023793589688</v>
      </c>
      <c r="L178" s="18">
        <v>9.0045783748853587</v>
      </c>
      <c r="M178" s="18">
        <v>10.259347683046929</v>
      </c>
    </row>
    <row r="179" spans="2:13" x14ac:dyDescent="0.15">
      <c r="B179" s="9" t="s">
        <v>298</v>
      </c>
      <c r="C179" s="15">
        <v>1</v>
      </c>
      <c r="D179" s="18">
        <v>9.2842411798157176</v>
      </c>
      <c r="E179" s="18">
        <v>9.5487738884934643</v>
      </c>
      <c r="F179" s="18">
        <v>-0.2645327086777467</v>
      </c>
      <c r="G179" s="18">
        <v>-0.8885594554135815</v>
      </c>
      <c r="H179" s="18">
        <v>6.895550286825082E-2</v>
      </c>
      <c r="I179" s="18">
        <v>9.4125169061516161</v>
      </c>
      <c r="J179" s="18">
        <v>9.6850308708353126</v>
      </c>
      <c r="K179" s="18">
        <v>0.30559104452360547</v>
      </c>
      <c r="L179" s="18">
        <v>8.944921957531017</v>
      </c>
      <c r="M179" s="18">
        <v>10.152625819455912</v>
      </c>
    </row>
    <row r="180" spans="2:13" x14ac:dyDescent="0.15">
      <c r="B180" s="9" t="s">
        <v>299</v>
      </c>
      <c r="C180" s="15">
        <v>1</v>
      </c>
      <c r="D180" s="18">
        <v>8.035602692918582</v>
      </c>
      <c r="E180" s="18">
        <v>8.3613311397900389</v>
      </c>
      <c r="F180" s="18">
        <v>-0.32572844687145697</v>
      </c>
      <c r="G180" s="18">
        <v>-1.0941145721128784</v>
      </c>
      <c r="H180" s="18">
        <v>7.5921448884757242E-2</v>
      </c>
      <c r="I180" s="18">
        <v>8.2113093563245023</v>
      </c>
      <c r="J180" s="18">
        <v>8.5113529232555756</v>
      </c>
      <c r="K180" s="18">
        <v>0.30723784193678955</v>
      </c>
      <c r="L180" s="18">
        <v>7.754225115438155</v>
      </c>
      <c r="M180" s="18">
        <v>8.9684371641419229</v>
      </c>
    </row>
    <row r="181" spans="2:13" x14ac:dyDescent="0.15">
      <c r="B181" s="9" t="s">
        <v>300</v>
      </c>
      <c r="C181" s="15">
        <v>1</v>
      </c>
      <c r="D181" s="18">
        <v>8.0894824743607536</v>
      </c>
      <c r="E181" s="18">
        <v>8.3031557095819171</v>
      </c>
      <c r="F181" s="18">
        <v>-0.21367323522116344</v>
      </c>
      <c r="G181" s="18">
        <v>-0.71772362092229547</v>
      </c>
      <c r="H181" s="18">
        <v>4.6786229975091201E-2</v>
      </c>
      <c r="I181" s="18">
        <v>8.2107055026167401</v>
      </c>
      <c r="J181" s="18">
        <v>8.395605916547094</v>
      </c>
      <c r="K181" s="18">
        <v>0.3013635287032872</v>
      </c>
      <c r="L181" s="18">
        <v>7.7076574055893081</v>
      </c>
      <c r="M181" s="18">
        <v>8.8986540135745269</v>
      </c>
    </row>
    <row r="182" spans="2:13" x14ac:dyDescent="0.15">
      <c r="B182" s="9" t="s">
        <v>301</v>
      </c>
      <c r="C182" s="15">
        <v>1</v>
      </c>
      <c r="D182" s="18">
        <v>7.9490914998305167</v>
      </c>
      <c r="E182" s="18">
        <v>8.0583060186190192</v>
      </c>
      <c r="F182" s="18">
        <v>-0.10921451878850252</v>
      </c>
      <c r="G182" s="18">
        <v>-0.36684912736513997</v>
      </c>
      <c r="H182" s="18">
        <v>5.4379654544979478E-2</v>
      </c>
      <c r="I182" s="18">
        <v>7.9508511046399537</v>
      </c>
      <c r="J182" s="18">
        <v>8.1657609325980847</v>
      </c>
      <c r="K182" s="18">
        <v>0.30263537788177736</v>
      </c>
      <c r="L182" s="18">
        <v>7.4602945238896803</v>
      </c>
      <c r="M182" s="18">
        <v>8.656317513348359</v>
      </c>
    </row>
    <row r="183" spans="2:13" x14ac:dyDescent="0.15">
      <c r="B183" s="9" t="s">
        <v>302</v>
      </c>
      <c r="C183" s="15">
        <v>1</v>
      </c>
      <c r="D183" s="18">
        <v>8.2852611340689482</v>
      </c>
      <c r="E183" s="18">
        <v>8.5917016517198643</v>
      </c>
      <c r="F183" s="18">
        <v>-0.30644051765091618</v>
      </c>
      <c r="G183" s="18">
        <v>-1.0293268489994485</v>
      </c>
      <c r="H183" s="18">
        <v>4.5124360792505661E-2</v>
      </c>
      <c r="I183" s="18">
        <v>8.5025353201590725</v>
      </c>
      <c r="J183" s="18">
        <v>8.6808679832806561</v>
      </c>
      <c r="K183" s="18">
        <v>0.30111000158438295</v>
      </c>
      <c r="L183" s="18">
        <v>7.9967043206551116</v>
      </c>
      <c r="M183" s="18">
        <v>9.1866989827846179</v>
      </c>
    </row>
    <row r="184" spans="2:13" x14ac:dyDescent="0.15">
      <c r="B184" s="9" t="s">
        <v>303</v>
      </c>
      <c r="C184" s="15">
        <v>1</v>
      </c>
      <c r="D184" s="18">
        <v>8.9463748261417173</v>
      </c>
      <c r="E184" s="18">
        <v>8.3493869763553459</v>
      </c>
      <c r="F184" s="18">
        <v>0.59698784978637143</v>
      </c>
      <c r="G184" s="18">
        <v>2.0052688431089547</v>
      </c>
      <c r="H184" s="18">
        <v>9.3723276729005031E-2</v>
      </c>
      <c r="I184" s="18">
        <v>8.164188546482622</v>
      </c>
      <c r="J184" s="18">
        <v>8.5345854062280697</v>
      </c>
      <c r="K184" s="18">
        <v>0.3121138858141953</v>
      </c>
      <c r="L184" s="18">
        <v>7.7326458250467178</v>
      </c>
      <c r="M184" s="18">
        <v>8.9661281276639748</v>
      </c>
    </row>
    <row r="185" spans="2:13" x14ac:dyDescent="0.15">
      <c r="B185" s="9" t="s">
        <v>304</v>
      </c>
      <c r="C185" s="15">
        <v>1</v>
      </c>
      <c r="D185" s="18">
        <v>8.1208860210928382</v>
      </c>
      <c r="E185" s="18">
        <v>8.344585631302083</v>
      </c>
      <c r="F185" s="18">
        <v>-0.22369961020924478</v>
      </c>
      <c r="G185" s="18">
        <v>-0.75140199039015165</v>
      </c>
      <c r="H185" s="18">
        <v>5.824098156404442E-2</v>
      </c>
      <c r="I185" s="18">
        <v>8.2295006842499774</v>
      </c>
      <c r="J185" s="18">
        <v>8.4596705783541886</v>
      </c>
      <c r="K185" s="18">
        <v>0.30335299083865691</v>
      </c>
      <c r="L185" s="18">
        <v>7.7451561239134694</v>
      </c>
      <c r="M185" s="18">
        <v>8.9440151386906965</v>
      </c>
    </row>
    <row r="186" spans="2:13" x14ac:dyDescent="0.15">
      <c r="B186" s="9" t="s">
        <v>305</v>
      </c>
      <c r="C186" s="15">
        <v>1</v>
      </c>
      <c r="D186" s="18">
        <v>9.1555673461288904</v>
      </c>
      <c r="E186" s="18">
        <v>9.2421754366621229</v>
      </c>
      <c r="F186" s="18">
        <v>-8.6608090533232485E-2</v>
      </c>
      <c r="G186" s="18">
        <v>-0.29091464017165236</v>
      </c>
      <c r="H186" s="18">
        <v>5.9105429725350579E-2</v>
      </c>
      <c r="I186" s="18">
        <v>9.1253823286518472</v>
      </c>
      <c r="J186" s="18">
        <v>9.3589685446723987</v>
      </c>
      <c r="K186" s="18">
        <v>0.30352014256097276</v>
      </c>
      <c r="L186" s="18">
        <v>8.6424156352675396</v>
      </c>
      <c r="M186" s="18">
        <v>9.8419352380567062</v>
      </c>
    </row>
    <row r="187" spans="2:13" x14ac:dyDescent="0.15">
      <c r="B187" s="9" t="s">
        <v>306</v>
      </c>
      <c r="C187" s="15">
        <v>1</v>
      </c>
      <c r="D187" s="18">
        <v>9.6006918422742995</v>
      </c>
      <c r="E187" s="18">
        <v>9.54814293500894</v>
      </c>
      <c r="F187" s="18">
        <v>5.2548907265359546E-2</v>
      </c>
      <c r="G187" s="18">
        <v>0.17651060489146467</v>
      </c>
      <c r="H187" s="18">
        <v>6.0094831742943694E-2</v>
      </c>
      <c r="I187" s="18">
        <v>9.4293947555738686</v>
      </c>
      <c r="J187" s="18">
        <v>9.6668911144440113</v>
      </c>
      <c r="K187" s="18">
        <v>0.30371436238582394</v>
      </c>
      <c r="L187" s="18">
        <v>8.9479993526810819</v>
      </c>
      <c r="M187" s="18">
        <v>10.148286517336798</v>
      </c>
    </row>
    <row r="188" spans="2:13" x14ac:dyDescent="0.15">
      <c r="B188" s="9" t="s">
        <v>307</v>
      </c>
      <c r="C188" s="15">
        <v>1</v>
      </c>
      <c r="D188" s="18">
        <v>9.5079975274500423</v>
      </c>
      <c r="E188" s="18">
        <v>9.3899361136902257</v>
      </c>
      <c r="F188" s="18">
        <v>0.1180614137598166</v>
      </c>
      <c r="G188" s="18">
        <v>0.39656564982130338</v>
      </c>
      <c r="H188" s="18">
        <v>6.052461983111674E-2</v>
      </c>
      <c r="I188" s="18">
        <v>9.2703386673293107</v>
      </c>
      <c r="J188" s="18">
        <v>9.5095335600511408</v>
      </c>
      <c r="K188" s="18">
        <v>0.30379969506718746</v>
      </c>
      <c r="L188" s="18">
        <v>8.7896239128595059</v>
      </c>
      <c r="M188" s="18">
        <v>9.9902483145209455</v>
      </c>
    </row>
    <row r="189" spans="2:13" x14ac:dyDescent="0.15">
      <c r="B189" s="9" t="s">
        <v>308</v>
      </c>
      <c r="C189" s="15">
        <v>1</v>
      </c>
      <c r="D189" s="18">
        <v>8.0186254650457496</v>
      </c>
      <c r="E189" s="18">
        <v>8.3697218467218466</v>
      </c>
      <c r="F189" s="18">
        <v>-0.35109638167609702</v>
      </c>
      <c r="G189" s="18">
        <v>-1.179324898078419</v>
      </c>
      <c r="H189" s="18">
        <v>7.8483932905287865E-2</v>
      </c>
      <c r="I189" s="18">
        <v>8.2146365610641237</v>
      </c>
      <c r="J189" s="18">
        <v>8.5248071323795696</v>
      </c>
      <c r="K189" s="18">
        <v>0.30788106931329279</v>
      </c>
      <c r="L189" s="18">
        <v>7.7613447965977418</v>
      </c>
      <c r="M189" s="18">
        <v>8.9780988968459514</v>
      </c>
    </row>
    <row r="190" spans="2:13" x14ac:dyDescent="0.15">
      <c r="B190" s="9" t="s">
        <v>309</v>
      </c>
      <c r="C190" s="15">
        <v>1</v>
      </c>
      <c r="D190" s="18">
        <v>7.9892214088152764</v>
      </c>
      <c r="E190" s="18">
        <v>8.2567117883806453</v>
      </c>
      <c r="F190" s="18">
        <v>-0.26749037956536892</v>
      </c>
      <c r="G190" s="18">
        <v>-0.8984942058130102</v>
      </c>
      <c r="H190" s="18">
        <v>5.8580409552850786E-2</v>
      </c>
      <c r="I190" s="18">
        <v>8.1409561271497832</v>
      </c>
      <c r="J190" s="18">
        <v>8.3724674496115075</v>
      </c>
      <c r="K190" s="18">
        <v>0.30341834074524004</v>
      </c>
      <c r="L190" s="18">
        <v>7.6571531487154632</v>
      </c>
      <c r="M190" s="18">
        <v>8.8562704280458284</v>
      </c>
    </row>
    <row r="191" spans="2:13" x14ac:dyDescent="0.15">
      <c r="B191" s="9" t="s">
        <v>310</v>
      </c>
      <c r="C191" s="15">
        <v>1</v>
      </c>
      <c r="D191" s="18">
        <v>7.959275960116396</v>
      </c>
      <c r="E191" s="18">
        <v>8.305107964860543</v>
      </c>
      <c r="F191" s="18">
        <v>-0.34583200474414699</v>
      </c>
      <c r="G191" s="18">
        <v>-1.1616419736373296</v>
      </c>
      <c r="H191" s="18">
        <v>5.7263030882867168E-2</v>
      </c>
      <c r="I191" s="18">
        <v>8.1919554612415748</v>
      </c>
      <c r="J191" s="18">
        <v>8.4182604684795113</v>
      </c>
      <c r="K191" s="18">
        <v>0.3031667525028216</v>
      </c>
      <c r="L191" s="18">
        <v>7.7060464668777309</v>
      </c>
      <c r="M191" s="18">
        <v>8.9041694628433543</v>
      </c>
    </row>
    <row r="192" spans="2:13" x14ac:dyDescent="0.15">
      <c r="B192" s="9" t="s">
        <v>311</v>
      </c>
      <c r="C192" s="15">
        <v>1</v>
      </c>
      <c r="D192" s="18">
        <v>8.92172453036431</v>
      </c>
      <c r="E192" s="18">
        <v>8.6869814778230179</v>
      </c>
      <c r="F192" s="18">
        <v>0.23474305254129213</v>
      </c>
      <c r="G192" s="18">
        <v>0.78849666633213189</v>
      </c>
      <c r="H192" s="18">
        <v>7.5089895355680072E-2</v>
      </c>
      <c r="I192" s="18">
        <v>8.5386028550888913</v>
      </c>
      <c r="J192" s="18">
        <v>8.8353601005571445</v>
      </c>
      <c r="K192" s="18">
        <v>0.30703341430818548</v>
      </c>
      <c r="L192" s="18">
        <v>8.0802794051591391</v>
      </c>
      <c r="M192" s="18">
        <v>9.2936835504868966</v>
      </c>
    </row>
    <row r="193" spans="2:13" x14ac:dyDescent="0.15">
      <c r="B193" s="9" t="s">
        <v>312</v>
      </c>
      <c r="C193" s="15">
        <v>1</v>
      </c>
      <c r="D193" s="18">
        <v>9.4219779831041901</v>
      </c>
      <c r="E193" s="18">
        <v>8.8869001402790353</v>
      </c>
      <c r="F193" s="18">
        <v>0.5350778428251548</v>
      </c>
      <c r="G193" s="18">
        <v>1.7973145135854791</v>
      </c>
      <c r="H193" s="18">
        <v>5.7558510599367445E-2</v>
      </c>
      <c r="I193" s="18">
        <v>8.7731637648465224</v>
      </c>
      <c r="J193" s="18">
        <v>9.0006365157115482</v>
      </c>
      <c r="K193" s="18">
        <v>0.30322270241463184</v>
      </c>
      <c r="L193" s="18">
        <v>8.287728084533196</v>
      </c>
      <c r="M193" s="18">
        <v>9.4860721960248746</v>
      </c>
    </row>
    <row r="194" spans="2:13" x14ac:dyDescent="0.15">
      <c r="B194" s="9" t="s">
        <v>313</v>
      </c>
      <c r="C194" s="15">
        <v>1</v>
      </c>
      <c r="D194" s="18">
        <v>9.3085554194731372</v>
      </c>
      <c r="E194" s="18">
        <v>8.7731865047800017</v>
      </c>
      <c r="F194" s="18">
        <v>0.53536891469313552</v>
      </c>
      <c r="G194" s="18">
        <v>1.7982922174837679</v>
      </c>
      <c r="H194" s="18">
        <v>4.6743860985516882E-2</v>
      </c>
      <c r="I194" s="18">
        <v>8.680820019496549</v>
      </c>
      <c r="J194" s="18">
        <v>8.8655529900634544</v>
      </c>
      <c r="K194" s="18">
        <v>0.3013569538886538</v>
      </c>
      <c r="L194" s="18">
        <v>8.1777011927077492</v>
      </c>
      <c r="M194" s="18">
        <v>9.3686718168522543</v>
      </c>
    </row>
    <row r="195" spans="2:13" x14ac:dyDescent="0.15">
      <c r="B195" s="9" t="s">
        <v>314</v>
      </c>
      <c r="C195" s="15">
        <v>1</v>
      </c>
      <c r="D195" s="18">
        <v>8.0836372031415475</v>
      </c>
      <c r="E195" s="18">
        <v>8.3455161083704308</v>
      </c>
      <c r="F195" s="18">
        <v>-0.26187890522888324</v>
      </c>
      <c r="G195" s="18">
        <v>-0.87964538894866895</v>
      </c>
      <c r="H195" s="18">
        <v>5.0922034948108333E-2</v>
      </c>
      <c r="I195" s="18">
        <v>8.2448934962782197</v>
      </c>
      <c r="J195" s="18">
        <v>8.4461387204626419</v>
      </c>
      <c r="K195" s="18">
        <v>0.30203324115148522</v>
      </c>
      <c r="L195" s="18">
        <v>7.7486944437549194</v>
      </c>
      <c r="M195" s="18">
        <v>8.9423377729859421</v>
      </c>
    </row>
    <row r="196" spans="2:13" x14ac:dyDescent="0.15">
      <c r="B196" s="9" t="s">
        <v>315</v>
      </c>
      <c r="C196" s="15">
        <v>1</v>
      </c>
      <c r="D196" s="18">
        <v>7.9405838271042439</v>
      </c>
      <c r="E196" s="18">
        <v>8.1124786792632921</v>
      </c>
      <c r="F196" s="18">
        <v>-0.17189485215904821</v>
      </c>
      <c r="G196" s="18">
        <v>-0.57739096607863394</v>
      </c>
      <c r="H196" s="18">
        <v>6.372816064889382E-2</v>
      </c>
      <c r="I196" s="18">
        <v>7.9865509940311847</v>
      </c>
      <c r="J196" s="18">
        <v>8.2384063644954004</v>
      </c>
      <c r="K196" s="18">
        <v>0.30445410750539414</v>
      </c>
      <c r="L196" s="18">
        <v>7.5108733508310328</v>
      </c>
      <c r="M196" s="18">
        <v>8.7140840076955524</v>
      </c>
    </row>
    <row r="197" spans="2:13" x14ac:dyDescent="0.15">
      <c r="B197" s="9" t="s">
        <v>316</v>
      </c>
      <c r="C197" s="15">
        <v>1</v>
      </c>
      <c r="D197" s="18">
        <v>7.959275960116396</v>
      </c>
      <c r="E197" s="18">
        <v>8.1810090193448257</v>
      </c>
      <c r="F197" s="18">
        <v>-0.22173305922842967</v>
      </c>
      <c r="G197" s="18">
        <v>-0.74479638960342698</v>
      </c>
      <c r="H197" s="18">
        <v>7.4966746221646396E-2</v>
      </c>
      <c r="I197" s="18">
        <v>8.0328737409223709</v>
      </c>
      <c r="J197" s="18">
        <v>8.3291442977672805</v>
      </c>
      <c r="K197" s="18">
        <v>0.30700331945481568</v>
      </c>
      <c r="L197" s="18">
        <v>7.5743664145077867</v>
      </c>
      <c r="M197" s="18">
        <v>8.7876516241818656</v>
      </c>
    </row>
    <row r="198" spans="2:13" x14ac:dyDescent="0.15">
      <c r="B198" s="9" t="s">
        <v>317</v>
      </c>
      <c r="C198" s="15">
        <v>1</v>
      </c>
      <c r="D198" s="18">
        <v>7.9529667909231314</v>
      </c>
      <c r="E198" s="18">
        <v>8.3024486241105109</v>
      </c>
      <c r="F198" s="18">
        <v>-0.34948183318737946</v>
      </c>
      <c r="G198" s="18">
        <v>-1.1739016657944243</v>
      </c>
      <c r="H198" s="18">
        <v>4.7218504278341462E-2</v>
      </c>
      <c r="I198" s="18">
        <v>8.2091442374257344</v>
      </c>
      <c r="J198" s="18">
        <v>8.3957530107952874</v>
      </c>
      <c r="K198" s="18">
        <v>0.30143094111835739</v>
      </c>
      <c r="L198" s="18">
        <v>7.706817112297383</v>
      </c>
      <c r="M198" s="18">
        <v>8.8980801359236388</v>
      </c>
    </row>
    <row r="199" spans="2:13" x14ac:dyDescent="0.15">
      <c r="B199" s="9" t="s">
        <v>318</v>
      </c>
      <c r="C199" s="15">
        <v>1</v>
      </c>
      <c r="D199" s="18">
        <v>8.0106915391303009</v>
      </c>
      <c r="E199" s="18">
        <v>8.2892067437883998</v>
      </c>
      <c r="F199" s="18">
        <v>-0.27851520465809898</v>
      </c>
      <c r="G199" s="18">
        <v>-0.93552634686427039</v>
      </c>
      <c r="H199" s="18">
        <v>5.3622535530977386E-2</v>
      </c>
      <c r="I199" s="18">
        <v>8.1832479069580817</v>
      </c>
      <c r="J199" s="18">
        <v>8.395165580618718</v>
      </c>
      <c r="K199" s="18">
        <v>0.30250025030400524</v>
      </c>
      <c r="L199" s="18">
        <v>7.691462262933408</v>
      </c>
      <c r="M199" s="18">
        <v>8.8869512246433917</v>
      </c>
    </row>
    <row r="200" spans="2:13" x14ac:dyDescent="0.15">
      <c r="B200" s="9" t="s">
        <v>319</v>
      </c>
      <c r="C200" s="15">
        <v>1</v>
      </c>
      <c r="D200" s="18">
        <v>7.959275960116396</v>
      </c>
      <c r="E200" s="18">
        <v>8.3298493560260187</v>
      </c>
      <c r="F200" s="18">
        <v>-0.37057339590962268</v>
      </c>
      <c r="G200" s="18">
        <v>-1.244747753523894</v>
      </c>
      <c r="H200" s="18">
        <v>5.8222957762828959E-2</v>
      </c>
      <c r="I200" s="18">
        <v>8.2148000242426278</v>
      </c>
      <c r="J200" s="18">
        <v>8.4448986878094097</v>
      </c>
      <c r="K200" s="18">
        <v>0.30334953095046485</v>
      </c>
      <c r="L200" s="18">
        <v>7.7304266854220662</v>
      </c>
      <c r="M200" s="18">
        <v>8.9292720266299721</v>
      </c>
    </row>
    <row r="201" spans="2:13" x14ac:dyDescent="0.15">
      <c r="B201" s="9" t="s">
        <v>320</v>
      </c>
      <c r="C201" s="15">
        <v>1</v>
      </c>
      <c r="D201" s="18">
        <v>7.9550742732626958</v>
      </c>
      <c r="E201" s="18">
        <v>8.0912565035747708</v>
      </c>
      <c r="F201" s="18">
        <v>-0.13618223031207499</v>
      </c>
      <c r="G201" s="18">
        <v>-0.45743306757015673</v>
      </c>
      <c r="H201" s="18">
        <v>5.777558407637904E-2</v>
      </c>
      <c r="I201" s="18">
        <v>7.9770911880911566</v>
      </c>
      <c r="J201" s="18">
        <v>8.205421819058385</v>
      </c>
      <c r="K201" s="18">
        <v>0.3032639827486634</v>
      </c>
      <c r="L201" s="18">
        <v>7.4920028773449054</v>
      </c>
      <c r="M201" s="18">
        <v>8.6905101298046361</v>
      </c>
    </row>
    <row r="202" spans="2:13" x14ac:dyDescent="0.15">
      <c r="B202" s="9" t="s">
        <v>321</v>
      </c>
      <c r="C202" s="15">
        <v>1</v>
      </c>
      <c r="D202" s="18">
        <v>7.9871847482334726</v>
      </c>
      <c r="E202" s="18">
        <v>8.3025242585957475</v>
      </c>
      <c r="F202" s="18">
        <v>-0.31533951036227492</v>
      </c>
      <c r="G202" s="18">
        <v>-1.059218366599894</v>
      </c>
      <c r="H202" s="18">
        <v>5.3342535993862961E-2</v>
      </c>
      <c r="I202" s="18">
        <v>8.1971187045405145</v>
      </c>
      <c r="J202" s="18">
        <v>8.4079298126509805</v>
      </c>
      <c r="K202" s="18">
        <v>0.30245074187951904</v>
      </c>
      <c r="L202" s="18">
        <v>7.704877607039947</v>
      </c>
      <c r="M202" s="18">
        <v>8.900170910151548</v>
      </c>
    </row>
    <row r="203" spans="2:13" x14ac:dyDescent="0.15">
      <c r="B203" s="9" t="s">
        <v>322</v>
      </c>
      <c r="C203" s="15">
        <v>1</v>
      </c>
      <c r="D203" s="18">
        <v>8.910720661951359</v>
      </c>
      <c r="E203" s="18">
        <v>9.1009096679417336</v>
      </c>
      <c r="F203" s="18">
        <v>-0.19018900599037458</v>
      </c>
      <c r="G203" s="18">
        <v>-0.63884061987331076</v>
      </c>
      <c r="H203" s="18">
        <v>5.3911566269723002E-2</v>
      </c>
      <c r="I203" s="18">
        <v>8.9943797025628971</v>
      </c>
      <c r="J203" s="18">
        <v>9.2074396333205701</v>
      </c>
      <c r="K203" s="18">
        <v>0.30255161889315618</v>
      </c>
      <c r="L203" s="18">
        <v>8.5030636820776593</v>
      </c>
      <c r="M203" s="18">
        <v>9.698755653805808</v>
      </c>
    </row>
    <row r="204" spans="2:13" x14ac:dyDescent="0.15">
      <c r="B204" s="9" t="s">
        <v>323</v>
      </c>
      <c r="C204" s="15">
        <v>1</v>
      </c>
      <c r="D204" s="18">
        <v>9.3913277057569999</v>
      </c>
      <c r="E204" s="18">
        <v>9.3072524788109909</v>
      </c>
      <c r="F204" s="18">
        <v>8.4075226946008996E-2</v>
      </c>
      <c r="G204" s="18">
        <v>0.28240680799864926</v>
      </c>
      <c r="H204" s="18">
        <v>6.4415107630144686E-2</v>
      </c>
      <c r="I204" s="18">
        <v>9.1799673772915575</v>
      </c>
      <c r="J204" s="18">
        <v>9.4345375803304243</v>
      </c>
      <c r="K204" s="18">
        <v>0.3045986395377005</v>
      </c>
      <c r="L204" s="18">
        <v>8.705361553178296</v>
      </c>
      <c r="M204" s="18">
        <v>9.9091434044436859</v>
      </c>
    </row>
    <row r="205" spans="2:13" x14ac:dyDescent="0.15">
      <c r="B205" s="9" t="s">
        <v>324</v>
      </c>
      <c r="C205" s="15">
        <v>1</v>
      </c>
      <c r="D205" s="18">
        <v>9.2575101764525733</v>
      </c>
      <c r="E205" s="18">
        <v>9.3313883670845446</v>
      </c>
      <c r="F205" s="18">
        <v>-7.3878190631971208E-2</v>
      </c>
      <c r="G205" s="18">
        <v>-0.24815519095165631</v>
      </c>
      <c r="H205" s="18">
        <v>6.013862008627327E-2</v>
      </c>
      <c r="I205" s="18">
        <v>9.2125536613060248</v>
      </c>
      <c r="J205" s="18">
        <v>9.4502230728630643</v>
      </c>
      <c r="K205" s="18">
        <v>0.30372302965546749</v>
      </c>
      <c r="L205" s="18">
        <v>8.7312276581176569</v>
      </c>
      <c r="M205" s="18">
        <v>9.9315490760514322</v>
      </c>
    </row>
    <row r="206" spans="2:13" x14ac:dyDescent="0.15">
      <c r="B206" s="9" t="s">
        <v>325</v>
      </c>
      <c r="C206" s="15">
        <v>1</v>
      </c>
      <c r="D206" s="18">
        <v>8.0500654229159654</v>
      </c>
      <c r="E206" s="18">
        <v>8.1058437404256178</v>
      </c>
      <c r="F206" s="18">
        <v>-5.5778317509652453E-2</v>
      </c>
      <c r="G206" s="18">
        <v>-0.18735812171582683</v>
      </c>
      <c r="H206" s="18">
        <v>5.4228134312246261E-2</v>
      </c>
      <c r="I206" s="18">
        <v>7.9986882324231203</v>
      </c>
      <c r="J206" s="18">
        <v>8.2129992484281154</v>
      </c>
      <c r="K206" s="18">
        <v>0.30260818836938613</v>
      </c>
      <c r="L206" s="18">
        <v>7.5078859725310592</v>
      </c>
      <c r="M206" s="18">
        <v>8.7038015083201774</v>
      </c>
    </row>
    <row r="207" spans="2:13" x14ac:dyDescent="0.15">
      <c r="B207" s="9" t="s">
        <v>326</v>
      </c>
      <c r="C207" s="15">
        <v>1</v>
      </c>
      <c r="D207" s="18">
        <v>8.1510449456850242</v>
      </c>
      <c r="E207" s="18">
        <v>8.2524194545126797</v>
      </c>
      <c r="F207" s="18">
        <v>-0.10137450882765542</v>
      </c>
      <c r="G207" s="18">
        <v>-0.34051470915248067</v>
      </c>
      <c r="H207" s="18">
        <v>5.08074021080663E-2</v>
      </c>
      <c r="I207" s="18">
        <v>8.1520233584229871</v>
      </c>
      <c r="J207" s="18">
        <v>8.3528155506023722</v>
      </c>
      <c r="K207" s="18">
        <v>0.3020139354834237</v>
      </c>
      <c r="L207" s="18">
        <v>7.6556359381516623</v>
      </c>
      <c r="M207" s="18">
        <v>8.8492029708736979</v>
      </c>
    </row>
    <row r="208" spans="2:13" x14ac:dyDescent="0.15">
      <c r="B208" s="9" t="s">
        <v>327</v>
      </c>
      <c r="C208" s="15">
        <v>1</v>
      </c>
      <c r="D208" s="18">
        <v>8.0968174705723186</v>
      </c>
      <c r="E208" s="18">
        <v>8.3122969014054462</v>
      </c>
      <c r="F208" s="18">
        <v>-0.21547943083312759</v>
      </c>
      <c r="G208" s="18">
        <v>-0.72379059160943415</v>
      </c>
      <c r="H208" s="18">
        <v>4.9670953581566139E-2</v>
      </c>
      <c r="I208" s="18">
        <v>8.2141464425798834</v>
      </c>
      <c r="J208" s="18">
        <v>8.410447360231009</v>
      </c>
      <c r="K208" s="18">
        <v>0.30182483122983267</v>
      </c>
      <c r="L208" s="18">
        <v>7.7158870575414813</v>
      </c>
      <c r="M208" s="18">
        <v>8.9087067452694111</v>
      </c>
    </row>
    <row r="209" spans="2:13" x14ac:dyDescent="0.15">
      <c r="B209" s="9" t="s">
        <v>328</v>
      </c>
      <c r="C209" s="15">
        <v>1</v>
      </c>
      <c r="D209" s="18">
        <v>8.007034012193408</v>
      </c>
      <c r="E209" s="18">
        <v>8.2837382925503498</v>
      </c>
      <c r="F209" s="18">
        <v>-0.27670428035694172</v>
      </c>
      <c r="G209" s="18">
        <v>-0.92944349261583137</v>
      </c>
      <c r="H209" s="18">
        <v>4.9368190048710459E-2</v>
      </c>
      <c r="I209" s="18">
        <v>8.1861860984554333</v>
      </c>
      <c r="J209" s="18">
        <v>8.3812904866452662</v>
      </c>
      <c r="K209" s="18">
        <v>0.30177515355956741</v>
      </c>
      <c r="L209" s="18">
        <v>7.6874266124174664</v>
      </c>
      <c r="M209" s="18">
        <v>8.8800499726832332</v>
      </c>
    </row>
    <row r="210" spans="2:13" x14ac:dyDescent="0.15">
      <c r="B210" s="9" t="s">
        <v>329</v>
      </c>
      <c r="C210" s="15">
        <v>1</v>
      </c>
      <c r="D210" s="18">
        <v>8.0580108008020854</v>
      </c>
      <c r="E210" s="18">
        <v>8.1914740588024806</v>
      </c>
      <c r="F210" s="18">
        <v>-0.13346325800039516</v>
      </c>
      <c r="G210" s="18">
        <v>-0.44830010035174755</v>
      </c>
      <c r="H210" s="18">
        <v>5.2859928854454299E-2</v>
      </c>
      <c r="I210" s="18">
        <v>8.0870221428143658</v>
      </c>
      <c r="J210" s="18">
        <v>8.2959259747905953</v>
      </c>
      <c r="K210" s="18">
        <v>0.30236599874277009</v>
      </c>
      <c r="L210" s="18">
        <v>7.5939948608016143</v>
      </c>
      <c r="M210" s="18">
        <v>8.7889532568033459</v>
      </c>
    </row>
    <row r="211" spans="2:13" x14ac:dyDescent="0.15">
      <c r="B211" s="9" t="s">
        <v>330</v>
      </c>
      <c r="C211" s="15">
        <v>1</v>
      </c>
      <c r="D211" s="18">
        <v>10.347339693048996</v>
      </c>
      <c r="E211" s="18">
        <v>10.508615766214746</v>
      </c>
      <c r="F211" s="18">
        <v>-0.16127607316574988</v>
      </c>
      <c r="G211" s="18">
        <v>-0.54172272479911576</v>
      </c>
      <c r="H211" s="18">
        <v>0.10249406250938806</v>
      </c>
      <c r="I211" s="18">
        <v>10.306086148061295</v>
      </c>
      <c r="J211" s="18">
        <v>10.711145384368196</v>
      </c>
      <c r="K211" s="18">
        <v>0.31485879051869148</v>
      </c>
      <c r="L211" s="18">
        <v>9.8864506470385312</v>
      </c>
      <c r="M211" s="18">
        <v>11.13078088539096</v>
      </c>
    </row>
    <row r="212" spans="2:13" x14ac:dyDescent="0.15">
      <c r="B212" s="9" t="s">
        <v>331</v>
      </c>
      <c r="C212" s="15">
        <v>1</v>
      </c>
      <c r="D212" s="18">
        <v>8.17413934342947</v>
      </c>
      <c r="E212" s="18">
        <v>8.1791699804694709</v>
      </c>
      <c r="F212" s="18">
        <v>-5.0306370400008404E-3</v>
      </c>
      <c r="G212" s="18">
        <v>-1.6897797368762853E-2</v>
      </c>
      <c r="H212" s="18">
        <v>5.8735778914232428E-2</v>
      </c>
      <c r="I212" s="18">
        <v>8.0631073073331088</v>
      </c>
      <c r="J212" s="18">
        <v>8.295232653605833</v>
      </c>
      <c r="K212" s="18">
        <v>0.30344837590910989</v>
      </c>
      <c r="L212" s="18">
        <v>7.5795519909246876</v>
      </c>
      <c r="M212" s="18">
        <v>8.778787970014255</v>
      </c>
    </row>
    <row r="213" spans="2:13" x14ac:dyDescent="0.15">
      <c r="B213" s="9" t="s">
        <v>332</v>
      </c>
      <c r="C213" s="15">
        <v>1</v>
      </c>
      <c r="D213" s="18">
        <v>8.0949887593037744</v>
      </c>
      <c r="E213" s="18">
        <v>7.9186161098242112</v>
      </c>
      <c r="F213" s="18">
        <v>0.17637264947956321</v>
      </c>
      <c r="G213" s="18">
        <v>0.59243178718713496</v>
      </c>
      <c r="H213" s="18">
        <v>8.967391145994201E-2</v>
      </c>
      <c r="I213" s="18">
        <v>7.7414192790844325</v>
      </c>
      <c r="J213" s="18">
        <v>8.0958129405639898</v>
      </c>
      <c r="K213" s="18">
        <v>0.31092191224444182</v>
      </c>
      <c r="L213" s="18">
        <v>7.3042303139968734</v>
      </c>
      <c r="M213" s="18">
        <v>8.5330019056515489</v>
      </c>
    </row>
    <row r="214" spans="2:13" x14ac:dyDescent="0.15">
      <c r="B214" s="9" t="s">
        <v>333</v>
      </c>
      <c r="C214" s="15">
        <v>1</v>
      </c>
      <c r="D214" s="18">
        <v>8.0618022745383477</v>
      </c>
      <c r="E214" s="18">
        <v>7.9295483919478089</v>
      </c>
      <c r="F214" s="18">
        <v>0.13225388259053883</v>
      </c>
      <c r="G214" s="18">
        <v>0.44423783538291306</v>
      </c>
      <c r="H214" s="18">
        <v>8.0938507830684334E-2</v>
      </c>
      <c r="I214" s="18">
        <v>7.7696128338918768</v>
      </c>
      <c r="J214" s="18">
        <v>8.089483950003741</v>
      </c>
      <c r="K214" s="18">
        <v>0.30851591071948403</v>
      </c>
      <c r="L214" s="18">
        <v>7.3199168868393274</v>
      </c>
      <c r="M214" s="18">
        <v>8.5391798970562895</v>
      </c>
    </row>
    <row r="215" spans="2:13" x14ac:dyDescent="0.15">
      <c r="B215" s="9" t="s">
        <v>334</v>
      </c>
      <c r="C215" s="15">
        <v>1</v>
      </c>
      <c r="D215" s="18">
        <v>8.9699234919915156</v>
      </c>
      <c r="E215" s="18">
        <v>9.1086930149291447</v>
      </c>
      <c r="F215" s="18">
        <v>-0.13876952293762912</v>
      </c>
      <c r="G215" s="18">
        <v>-0.46612372566627347</v>
      </c>
      <c r="H215" s="18">
        <v>5.3758617723925727E-2</v>
      </c>
      <c r="I215" s="18">
        <v>9.0024652778923127</v>
      </c>
      <c r="J215" s="18">
        <v>9.2149207519659768</v>
      </c>
      <c r="K215" s="18">
        <v>0.30252440248152224</v>
      </c>
      <c r="L215" s="18">
        <v>8.5109008090531084</v>
      </c>
      <c r="M215" s="18">
        <v>9.7064852208051811</v>
      </c>
    </row>
    <row r="216" spans="2:13" x14ac:dyDescent="0.15">
      <c r="B216" s="9" t="s">
        <v>335</v>
      </c>
      <c r="C216" s="15">
        <v>1</v>
      </c>
      <c r="D216" s="18">
        <v>8.8602153589011827</v>
      </c>
      <c r="E216" s="18">
        <v>8.8250198666646202</v>
      </c>
      <c r="F216" s="18">
        <v>3.5195492236562487E-2</v>
      </c>
      <c r="G216" s="18">
        <v>0.11822087170637929</v>
      </c>
      <c r="H216" s="18">
        <v>8.1007317792747904E-2</v>
      </c>
      <c r="I216" s="18">
        <v>8.6649483392168953</v>
      </c>
      <c r="J216" s="18">
        <v>8.9850913941123451</v>
      </c>
      <c r="K216" s="18">
        <v>0.30853397001495658</v>
      </c>
      <c r="L216" s="18">
        <v>8.2153526761503048</v>
      </c>
      <c r="M216" s="18">
        <v>9.4346870571789356</v>
      </c>
    </row>
    <row r="217" spans="2:13" x14ac:dyDescent="0.15">
      <c r="B217" s="9" t="s">
        <v>336</v>
      </c>
      <c r="C217" s="15">
        <v>1</v>
      </c>
      <c r="D217" s="18">
        <v>9.5648630013467724</v>
      </c>
      <c r="E217" s="18">
        <v>8.95455353710949</v>
      </c>
      <c r="F217" s="18">
        <v>0.61030946423728238</v>
      </c>
      <c r="G217" s="18">
        <v>2.0500158482747732</v>
      </c>
      <c r="H217" s="18">
        <v>5.5372701014815437E-2</v>
      </c>
      <c r="I217" s="18">
        <v>8.8451363502199705</v>
      </c>
      <c r="J217" s="18">
        <v>9.0639707239990095</v>
      </c>
      <c r="K217" s="18">
        <v>0.30281539117900036</v>
      </c>
      <c r="L217" s="18">
        <v>8.3561863337326798</v>
      </c>
      <c r="M217" s="18">
        <v>9.5529207404863001</v>
      </c>
    </row>
    <row r="218" spans="2:13" x14ac:dyDescent="0.15">
      <c r="B218" s="9" t="s">
        <v>337</v>
      </c>
      <c r="C218" s="15">
        <v>1</v>
      </c>
      <c r="D218" s="18">
        <v>9.3424207123333911</v>
      </c>
      <c r="E218" s="18">
        <v>8.9203823263399666</v>
      </c>
      <c r="F218" s="18">
        <v>0.42203838599342447</v>
      </c>
      <c r="G218" s="18">
        <v>1.4176175048310418</v>
      </c>
      <c r="H218" s="18">
        <v>4.8711864488989273E-2</v>
      </c>
      <c r="I218" s="18">
        <v>8.8241270401999135</v>
      </c>
      <c r="J218" s="18">
        <v>9.0166376124800198</v>
      </c>
      <c r="K218" s="18">
        <v>0.30166847839840433</v>
      </c>
      <c r="L218" s="18">
        <v>8.3242814377312744</v>
      </c>
      <c r="M218" s="18">
        <v>9.5164832149486589</v>
      </c>
    </row>
    <row r="219" spans="2:13" x14ac:dyDescent="0.15">
      <c r="B219" s="9" t="s">
        <v>338</v>
      </c>
      <c r="C219" s="15">
        <v>1</v>
      </c>
      <c r="D219" s="18">
        <v>8.3654396361887002</v>
      </c>
      <c r="E219" s="18">
        <v>8.3736312002539321</v>
      </c>
      <c r="F219" s="18">
        <v>-8.1915640652319155E-3</v>
      </c>
      <c r="G219" s="18">
        <v>-2.7515280591084958E-2</v>
      </c>
      <c r="H219" s="18">
        <v>4.9485169009397173E-2</v>
      </c>
      <c r="I219" s="18">
        <v>8.275847854191186</v>
      </c>
      <c r="J219" s="18">
        <v>8.4714145463166783</v>
      </c>
      <c r="K219" s="18">
        <v>0.30179431251947658</v>
      </c>
      <c r="L219" s="18">
        <v>7.7772816617637979</v>
      </c>
      <c r="M219" s="18">
        <v>8.9699807387440664</v>
      </c>
    </row>
    <row r="220" spans="2:13" x14ac:dyDescent="0.15">
      <c r="B220" s="9" t="s">
        <v>339</v>
      </c>
      <c r="C220" s="15">
        <v>1</v>
      </c>
      <c r="D220" s="18">
        <v>9.1143799808302717</v>
      </c>
      <c r="E220" s="18">
        <v>9.0078571897215713</v>
      </c>
      <c r="F220" s="18">
        <v>0.10652279110870033</v>
      </c>
      <c r="G220" s="18">
        <v>0.35780767425621524</v>
      </c>
      <c r="H220" s="18">
        <v>4.7391413867693806E-2</v>
      </c>
      <c r="I220" s="18">
        <v>8.9142111314096866</v>
      </c>
      <c r="J220" s="18">
        <v>9.1015032480334561</v>
      </c>
      <c r="K220" s="18">
        <v>0.30145807540285585</v>
      </c>
      <c r="L220" s="18">
        <v>8.412172060204707</v>
      </c>
      <c r="M220" s="18">
        <v>9.6035423192384357</v>
      </c>
    </row>
    <row r="221" spans="2:13" x14ac:dyDescent="0.15">
      <c r="B221" s="9" t="s">
        <v>340</v>
      </c>
      <c r="C221" s="15">
        <v>1</v>
      </c>
      <c r="D221" s="18">
        <v>8.2190566610605984</v>
      </c>
      <c r="E221" s="18">
        <v>8.2227800954410597</v>
      </c>
      <c r="F221" s="18">
        <v>-3.723434380461299E-3</v>
      </c>
      <c r="G221" s="18">
        <v>-1.2506932854951025E-2</v>
      </c>
      <c r="H221" s="18">
        <v>5.3305638837989749E-2</v>
      </c>
      <c r="I221" s="18">
        <v>8.1174474506520511</v>
      </c>
      <c r="J221" s="18">
        <v>8.3281127402300683</v>
      </c>
      <c r="K221" s="18">
        <v>0.30244423659435321</v>
      </c>
      <c r="L221" s="18">
        <v>7.6251462984144709</v>
      </c>
      <c r="M221" s="18">
        <v>8.8204138924676485</v>
      </c>
    </row>
    <row r="222" spans="2:13" x14ac:dyDescent="0.15">
      <c r="B222" s="9" t="s">
        <v>341</v>
      </c>
      <c r="C222" s="15">
        <v>1</v>
      </c>
      <c r="D222" s="18">
        <v>8.2514030653805559</v>
      </c>
      <c r="E222" s="18">
        <v>8.1812399655284676</v>
      </c>
      <c r="F222" s="18">
        <v>7.0163099852088351E-2</v>
      </c>
      <c r="G222" s="18">
        <v>0.2356762840645458</v>
      </c>
      <c r="H222" s="18">
        <v>5.1179640663533553E-2</v>
      </c>
      <c r="I222" s="18">
        <v>8.080108321147927</v>
      </c>
      <c r="J222" s="18">
        <v>8.2823716099090081</v>
      </c>
      <c r="K222" s="18">
        <v>0.30207677953736084</v>
      </c>
      <c r="L222" s="18">
        <v>7.5843322684887307</v>
      </c>
      <c r="M222" s="18">
        <v>8.7781476625682036</v>
      </c>
    </row>
    <row r="223" spans="2:13" x14ac:dyDescent="0.15">
      <c r="B223" s="9" t="s">
        <v>342</v>
      </c>
      <c r="C223" s="15">
        <v>1</v>
      </c>
      <c r="D223" s="18">
        <v>8.3614746164168174</v>
      </c>
      <c r="E223" s="18">
        <v>8.3597839521968851</v>
      </c>
      <c r="F223" s="18">
        <v>1.6906642199323585E-3</v>
      </c>
      <c r="G223" s="18">
        <v>5.678903323748782E-3</v>
      </c>
      <c r="H223" s="18">
        <v>5.3579393007105049E-2</v>
      </c>
      <c r="I223" s="18">
        <v>8.2539103655622572</v>
      </c>
      <c r="J223" s="18">
        <v>8.465657538831513</v>
      </c>
      <c r="K223" s="18">
        <v>0.30249260564884012</v>
      </c>
      <c r="L223" s="18">
        <v>7.7620545772812379</v>
      </c>
      <c r="M223" s="18">
        <v>8.9575133271125313</v>
      </c>
    </row>
    <row r="224" spans="2:13" x14ac:dyDescent="0.15">
      <c r="B224" s="9" t="s">
        <v>343</v>
      </c>
      <c r="C224" s="15">
        <v>1</v>
      </c>
      <c r="D224" s="18">
        <v>8.4751204149943291</v>
      </c>
      <c r="E224" s="18">
        <v>8.329671511597633</v>
      </c>
      <c r="F224" s="18">
        <v>0.14544890339669614</v>
      </c>
      <c r="G224" s="18">
        <v>0.48855961532572101</v>
      </c>
      <c r="H224" s="18">
        <v>4.7661043898352753E-2</v>
      </c>
      <c r="I224" s="18">
        <v>8.2354926607920653</v>
      </c>
      <c r="J224" s="18">
        <v>8.4238503624032006</v>
      </c>
      <c r="K224" s="18">
        <v>0.30150058079993075</v>
      </c>
      <c r="L224" s="18">
        <v>7.7339023908560263</v>
      </c>
      <c r="M224" s="18">
        <v>8.9254406323392406</v>
      </c>
    </row>
    <row r="225" spans="2:13" x14ac:dyDescent="0.15">
      <c r="B225" s="9" t="s">
        <v>344</v>
      </c>
      <c r="C225" s="15">
        <v>1</v>
      </c>
      <c r="D225" s="18">
        <v>8.3380665255188013</v>
      </c>
      <c r="E225" s="18">
        <v>8.2911392370342636</v>
      </c>
      <c r="F225" s="18">
        <v>4.6927288484537755E-2</v>
      </c>
      <c r="G225" s="18">
        <v>0.15762771306535464</v>
      </c>
      <c r="H225" s="18">
        <v>4.7655905915292417E-2</v>
      </c>
      <c r="I225" s="18">
        <v>8.1969705389509304</v>
      </c>
      <c r="J225" s="18">
        <v>8.3853079351175968</v>
      </c>
      <c r="K225" s="18">
        <v>0.30149976863311534</v>
      </c>
      <c r="L225" s="18">
        <v>7.6953717211449861</v>
      </c>
      <c r="M225" s="18">
        <v>8.8869067529235402</v>
      </c>
    </row>
    <row r="226" spans="2:13" x14ac:dyDescent="0.15">
      <c r="B226" s="9" t="s">
        <v>345</v>
      </c>
      <c r="C226" s="15">
        <v>1</v>
      </c>
      <c r="D226" s="18">
        <v>8.2620428439669418</v>
      </c>
      <c r="E226" s="18">
        <v>8.1635059019113765</v>
      </c>
      <c r="F226" s="18">
        <v>9.8536942055565291E-2</v>
      </c>
      <c r="G226" s="18">
        <v>0.33098338579246633</v>
      </c>
      <c r="H226" s="18">
        <v>5.7447663126338436E-2</v>
      </c>
      <c r="I226" s="18">
        <v>8.0499885625462824</v>
      </c>
      <c r="J226" s="18">
        <v>8.2770232412764706</v>
      </c>
      <c r="K226" s="18">
        <v>0.30320168059542835</v>
      </c>
      <c r="L226" s="18">
        <v>7.5643753855573017</v>
      </c>
      <c r="M226" s="18">
        <v>8.7626364182654513</v>
      </c>
    </row>
    <row r="227" spans="2:13" x14ac:dyDescent="0.15">
      <c r="B227" s="9" t="s">
        <v>346</v>
      </c>
      <c r="C227" s="15">
        <v>1</v>
      </c>
      <c r="D227" s="18">
        <v>9.2450316117661124</v>
      </c>
      <c r="E227" s="18">
        <v>9.0699993115961011</v>
      </c>
      <c r="F227" s="18">
        <v>0.17503230017001137</v>
      </c>
      <c r="G227" s="18">
        <v>0.58792958381685079</v>
      </c>
      <c r="H227" s="18">
        <v>5.3850000825839441E-2</v>
      </c>
      <c r="I227" s="18">
        <v>8.9635910003456694</v>
      </c>
      <c r="J227" s="18">
        <v>9.1764076228465328</v>
      </c>
      <c r="K227" s="18">
        <v>0.30254065463365049</v>
      </c>
      <c r="L227" s="18">
        <v>8.4721749912532935</v>
      </c>
      <c r="M227" s="18">
        <v>9.6678236319389086</v>
      </c>
    </row>
    <row r="228" spans="2:13" x14ac:dyDescent="0.15">
      <c r="B228" s="9" t="s">
        <v>347</v>
      </c>
      <c r="C228" s="15">
        <v>1</v>
      </c>
      <c r="D228" s="18">
        <v>8.2545288819397449</v>
      </c>
      <c r="E228" s="18">
        <v>8.5500782899001191</v>
      </c>
      <c r="F228" s="18">
        <v>-0.29554940796037421</v>
      </c>
      <c r="G228" s="18">
        <v>-0.99274385499523066</v>
      </c>
      <c r="H228" s="18">
        <v>5.9905935629640313E-2</v>
      </c>
      <c r="I228" s="18">
        <v>8.4317033716741498</v>
      </c>
      <c r="J228" s="18">
        <v>8.6684532081260883</v>
      </c>
      <c r="K228" s="18">
        <v>0.30367704266354656</v>
      </c>
      <c r="L228" s="18">
        <v>7.9500084518352692</v>
      </c>
      <c r="M228" s="18">
        <v>9.1501481279649681</v>
      </c>
    </row>
    <row r="229" spans="2:13" x14ac:dyDescent="0.15">
      <c r="B229" s="9" t="s">
        <v>348</v>
      </c>
      <c r="C229" s="15">
        <v>1</v>
      </c>
      <c r="D229" s="18">
        <v>8.9123385671175477</v>
      </c>
      <c r="E229" s="18">
        <v>8.9374291813068858</v>
      </c>
      <c r="F229" s="18">
        <v>-2.5090614189338112E-2</v>
      </c>
      <c r="G229" s="18">
        <v>-8.4278812217621374E-2</v>
      </c>
      <c r="H229" s="18">
        <v>5.0226091349949945E-2</v>
      </c>
      <c r="I229" s="18">
        <v>8.8381817629355641</v>
      </c>
      <c r="J229" s="18">
        <v>9.0366765996782075</v>
      </c>
      <c r="K229" s="18">
        <v>0.30191668613958456</v>
      </c>
      <c r="L229" s="18">
        <v>8.3408378309308162</v>
      </c>
      <c r="M229" s="18">
        <v>9.5340205316829554</v>
      </c>
    </row>
    <row r="230" spans="2:13" x14ac:dyDescent="0.15">
      <c r="B230" s="9" t="s">
        <v>349</v>
      </c>
      <c r="C230" s="15">
        <v>1</v>
      </c>
      <c r="D230" s="18">
        <v>9.6019093748922355</v>
      </c>
      <c r="E230" s="18">
        <v>9.1633174438269531</v>
      </c>
      <c r="F230" s="18">
        <v>0.43859193106528238</v>
      </c>
      <c r="G230" s="18">
        <v>1.4732204927100663</v>
      </c>
      <c r="H230" s="18">
        <v>0.11011069481738769</v>
      </c>
      <c r="I230" s="18">
        <v>8.9457372598632823</v>
      </c>
      <c r="J230" s="18">
        <v>9.380897627790624</v>
      </c>
      <c r="K230" s="18">
        <v>0.3174198957695985</v>
      </c>
      <c r="L230" s="18">
        <v>8.5360915469254977</v>
      </c>
      <c r="M230" s="18">
        <v>9.7905433407284086</v>
      </c>
    </row>
    <row r="231" spans="2:13" x14ac:dyDescent="0.15">
      <c r="B231" s="9" t="s">
        <v>350</v>
      </c>
      <c r="C231" s="15">
        <v>1</v>
      </c>
      <c r="D231" s="18">
        <v>9.2252289844699327</v>
      </c>
      <c r="E231" s="18">
        <v>9.0989717590855363</v>
      </c>
      <c r="F231" s="18">
        <v>0.12625722538439632</v>
      </c>
      <c r="G231" s="18">
        <v>0.42409519786929295</v>
      </c>
      <c r="H231" s="18">
        <v>5.0684855233794401E-2</v>
      </c>
      <c r="I231" s="18">
        <v>8.9988178172342899</v>
      </c>
      <c r="J231" s="18">
        <v>9.1991257009367828</v>
      </c>
      <c r="K231" s="18">
        <v>0.30199334374665543</v>
      </c>
      <c r="L231" s="18">
        <v>8.5022289322677249</v>
      </c>
      <c r="M231" s="18">
        <v>9.6957145859033478</v>
      </c>
    </row>
    <row r="232" spans="2:13" x14ac:dyDescent="0.15">
      <c r="B232" s="9" t="s">
        <v>351</v>
      </c>
      <c r="C232" s="15">
        <v>1</v>
      </c>
      <c r="D232" s="18">
        <v>8.2002882602875538</v>
      </c>
      <c r="E232" s="18">
        <v>8.3374267560426496</v>
      </c>
      <c r="F232" s="18">
        <v>-0.13713849575509585</v>
      </c>
      <c r="G232" s="18">
        <v>-0.46064514181809613</v>
      </c>
      <c r="H232" s="18">
        <v>5.0703877906982414E-2</v>
      </c>
      <c r="I232" s="18">
        <v>8.2372352251385088</v>
      </c>
      <c r="J232" s="18">
        <v>8.4376182869467904</v>
      </c>
      <c r="K232" s="18">
        <v>0.30199653698680234</v>
      </c>
      <c r="L232" s="18">
        <v>7.7406776193402278</v>
      </c>
      <c r="M232" s="18">
        <v>8.9341758927450705</v>
      </c>
    </row>
    <row r="233" spans="2:13" x14ac:dyDescent="0.15">
      <c r="B233" s="9" t="s">
        <v>352</v>
      </c>
      <c r="C233" s="15">
        <v>1</v>
      </c>
      <c r="D233" s="18">
        <v>9.2325909809110023</v>
      </c>
      <c r="E233" s="18">
        <v>9.0486721574133693</v>
      </c>
      <c r="F233" s="18">
        <v>0.183918823497633</v>
      </c>
      <c r="G233" s="18">
        <v>0.61777921703604821</v>
      </c>
      <c r="H233" s="18">
        <v>5.0466768928894304E-2</v>
      </c>
      <c r="I233" s="18">
        <v>8.9489491569744786</v>
      </c>
      <c r="J233" s="18">
        <v>9.14839515785226</v>
      </c>
      <c r="K233" s="18">
        <v>0.30195681791166312</v>
      </c>
      <c r="L233" s="18">
        <v>8.4520015061268285</v>
      </c>
      <c r="M233" s="18">
        <v>9.64534280869991</v>
      </c>
    </row>
    <row r="234" spans="2:13" x14ac:dyDescent="0.15">
      <c r="B234" s="9" t="s">
        <v>353</v>
      </c>
      <c r="C234" s="15">
        <v>1</v>
      </c>
      <c r="D234" s="18">
        <v>8.1939530235637417</v>
      </c>
      <c r="E234" s="18">
        <v>8.2407990430073124</v>
      </c>
      <c r="F234" s="18">
        <v>-4.6846019443570697E-2</v>
      </c>
      <c r="G234" s="18">
        <v>-0.15735473217333329</v>
      </c>
      <c r="H234" s="18">
        <v>6.4116794457565893E-2</v>
      </c>
      <c r="I234" s="18">
        <v>8.1141034122479727</v>
      </c>
      <c r="J234" s="18">
        <v>8.367494673766652</v>
      </c>
      <c r="K234" s="18">
        <v>0.30453569322614488</v>
      </c>
      <c r="L234" s="18">
        <v>7.6390325001157384</v>
      </c>
      <c r="M234" s="18">
        <v>8.8425655858988872</v>
      </c>
    </row>
    <row r="235" spans="2:13" x14ac:dyDescent="0.15">
      <c r="B235" s="9" t="s">
        <v>354</v>
      </c>
      <c r="C235" s="15">
        <v>1</v>
      </c>
      <c r="D235" s="18">
        <v>9.3957405183797356</v>
      </c>
      <c r="E235" s="18">
        <v>9.4795064591610441</v>
      </c>
      <c r="F235" s="18">
        <v>-8.3765940781308501E-2</v>
      </c>
      <c r="G235" s="18">
        <v>-0.28136792268481831</v>
      </c>
      <c r="H235" s="18">
        <v>8.2246913610298969E-2</v>
      </c>
      <c r="I235" s="18">
        <v>9.3169854740428288</v>
      </c>
      <c r="J235" s="18">
        <v>9.6420274442792593</v>
      </c>
      <c r="K235" s="18">
        <v>0.30886174887097118</v>
      </c>
      <c r="L235" s="18">
        <v>8.8691915733078766</v>
      </c>
      <c r="M235" s="18">
        <v>10.089821345014212</v>
      </c>
    </row>
    <row r="236" spans="2:13" x14ac:dyDescent="0.15">
      <c r="B236" s="9" t="s">
        <v>355</v>
      </c>
      <c r="C236" s="15">
        <v>1</v>
      </c>
      <c r="D236" s="18">
        <v>8.2870250251650628</v>
      </c>
      <c r="E236" s="18">
        <v>8.3737518625499003</v>
      </c>
      <c r="F236" s="18">
        <v>-8.6726837384837552E-2</v>
      </c>
      <c r="G236" s="18">
        <v>-0.29131350819187446</v>
      </c>
      <c r="H236" s="18">
        <v>4.7029944526563734E-2</v>
      </c>
      <c r="I236" s="18">
        <v>8.2808200724194183</v>
      </c>
      <c r="J236" s="18">
        <v>8.4666836526803824</v>
      </c>
      <c r="K236" s="18">
        <v>0.30140146117659505</v>
      </c>
      <c r="L236" s="18">
        <v>7.7781786034901721</v>
      </c>
      <c r="M236" s="18">
        <v>8.9693251216096286</v>
      </c>
    </row>
    <row r="237" spans="2:13" x14ac:dyDescent="0.15">
      <c r="B237" s="9" t="s">
        <v>356</v>
      </c>
      <c r="C237" s="15">
        <v>1</v>
      </c>
      <c r="D237" s="18">
        <v>8.2766491254218604</v>
      </c>
      <c r="E237" s="18">
        <v>8.2944165531314447</v>
      </c>
      <c r="F237" s="18">
        <v>-1.7767427709584283E-2</v>
      </c>
      <c r="G237" s="18">
        <v>-5.9680392525525421E-2</v>
      </c>
      <c r="H237" s="18">
        <v>5.4566959753302183E-2</v>
      </c>
      <c r="I237" s="18">
        <v>8.1865915215924847</v>
      </c>
      <c r="J237" s="18">
        <v>8.4022415846704046</v>
      </c>
      <c r="K237" s="18">
        <v>0.30266909028497341</v>
      </c>
      <c r="L237" s="18">
        <v>7.6963384422491385</v>
      </c>
      <c r="M237" s="18">
        <v>8.8924946640137499</v>
      </c>
    </row>
    <row r="238" spans="2:13" x14ac:dyDescent="0.15">
      <c r="B238" s="9" t="s">
        <v>357</v>
      </c>
      <c r="C238" s="15">
        <v>1</v>
      </c>
      <c r="D238" s="18">
        <v>9.1200873829986211</v>
      </c>
      <c r="E238" s="18">
        <v>8.4981375667355952</v>
      </c>
      <c r="F238" s="18">
        <v>0.62194981626302592</v>
      </c>
      <c r="G238" s="18">
        <v>2.0891155305353024</v>
      </c>
      <c r="H238" s="18">
        <v>7.6269005588965072E-2</v>
      </c>
      <c r="I238" s="18">
        <v>8.3474290066425496</v>
      </c>
      <c r="J238" s="18">
        <v>8.6488461268286407</v>
      </c>
      <c r="K238" s="18">
        <v>0.30732391109502766</v>
      </c>
      <c r="L238" s="18">
        <v>7.8908614685928402</v>
      </c>
      <c r="M238" s="18">
        <v>9.1054136648783501</v>
      </c>
    </row>
    <row r="239" spans="2:13" x14ac:dyDescent="0.15">
      <c r="B239" s="9" t="s">
        <v>358</v>
      </c>
      <c r="C239" s="15">
        <v>1</v>
      </c>
      <c r="D239" s="18">
        <v>9.8698790613622993</v>
      </c>
      <c r="E239" s="18">
        <v>8.5329562898896381</v>
      </c>
      <c r="F239" s="18">
        <v>1.3369227714726613</v>
      </c>
      <c r="G239" s="18">
        <v>4.4906937054687814</v>
      </c>
      <c r="H239" s="18">
        <v>5.7622889296732496E-2</v>
      </c>
      <c r="I239" s="18">
        <v>8.4190927013027697</v>
      </c>
      <c r="J239" s="18">
        <v>8.6468198784765065</v>
      </c>
      <c r="K239" s="18">
        <v>0.30323492953173842</v>
      </c>
      <c r="L239" s="18">
        <v>7.933760073199271</v>
      </c>
      <c r="M239" s="18">
        <v>9.132152506580006</v>
      </c>
    </row>
    <row r="240" spans="2:13" x14ac:dyDescent="0.15">
      <c r="B240" s="9" t="s">
        <v>359</v>
      </c>
      <c r="C240" s="15">
        <v>1</v>
      </c>
      <c r="D240" s="18">
        <v>9.6019093748922355</v>
      </c>
      <c r="E240" s="18">
        <v>8.5300654300379488</v>
      </c>
      <c r="F240" s="18">
        <v>1.0718439448542867</v>
      </c>
      <c r="G240" s="18">
        <v>3.6002998520998717</v>
      </c>
      <c r="H240" s="18">
        <v>5.293487603245111E-2</v>
      </c>
      <c r="I240" s="18">
        <v>8.4254654174384811</v>
      </c>
      <c r="J240" s="18">
        <v>8.6346654426374165</v>
      </c>
      <c r="K240" s="18">
        <v>0.30237911008828944</v>
      </c>
      <c r="L240" s="18">
        <v>7.9325603238455589</v>
      </c>
      <c r="M240" s="18">
        <v>9.1275705362303388</v>
      </c>
    </row>
    <row r="241" spans="2:13" x14ac:dyDescent="0.15">
      <c r="B241" s="9" t="s">
        <v>360</v>
      </c>
      <c r="C241" s="15">
        <v>1</v>
      </c>
      <c r="D241" s="18">
        <v>8.0459087422707789</v>
      </c>
      <c r="E241" s="18">
        <v>8.2710990733102356</v>
      </c>
      <c r="F241" s="18">
        <v>-0.22519033103945674</v>
      </c>
      <c r="G241" s="18">
        <v>-0.75640928833711529</v>
      </c>
      <c r="H241" s="18">
        <v>5.1665910122167764E-2</v>
      </c>
      <c r="I241" s="18">
        <v>8.1690065540715278</v>
      </c>
      <c r="J241" s="18">
        <v>8.3731915925489435</v>
      </c>
      <c r="K241" s="18">
        <v>0.30215954624331631</v>
      </c>
      <c r="L241" s="18">
        <v>7.6740278281688568</v>
      </c>
      <c r="M241" s="18">
        <v>8.8681703184516145</v>
      </c>
    </row>
    <row r="242" spans="2:13" x14ac:dyDescent="0.15">
      <c r="B242" s="9" t="s">
        <v>361</v>
      </c>
      <c r="C242" s="15">
        <v>1</v>
      </c>
      <c r="D242" s="18">
        <v>8.034631032923107</v>
      </c>
      <c r="E242" s="18">
        <v>8.2745613755000154</v>
      </c>
      <c r="F242" s="18">
        <v>-0.23993034257690837</v>
      </c>
      <c r="G242" s="18">
        <v>-0.80592065761154075</v>
      </c>
      <c r="H242" s="18">
        <v>4.6663275170814318E-2</v>
      </c>
      <c r="I242" s="18">
        <v>8.182354128848349</v>
      </c>
      <c r="J242" s="18">
        <v>8.3667686221516817</v>
      </c>
      <c r="K242" s="18">
        <v>0.30134446463620668</v>
      </c>
      <c r="L242" s="18">
        <v>7.6791007423551774</v>
      </c>
      <c r="M242" s="18">
        <v>8.8700220086448525</v>
      </c>
    </row>
    <row r="243" spans="2:13" x14ac:dyDescent="0.15">
      <c r="B243" s="9" t="s">
        <v>362</v>
      </c>
      <c r="C243" s="15">
        <v>1</v>
      </c>
      <c r="D243" s="18">
        <v>8.0023595462527073</v>
      </c>
      <c r="E243" s="18">
        <v>8.3060718141117942</v>
      </c>
      <c r="F243" s="18">
        <v>-0.30371226785908689</v>
      </c>
      <c r="G243" s="18">
        <v>-1.0201627189325946</v>
      </c>
      <c r="H243" s="18">
        <v>5.7585131138513927E-2</v>
      </c>
      <c r="I243" s="18">
        <v>8.1922828361431304</v>
      </c>
      <c r="J243" s="18">
        <v>8.419860792080458</v>
      </c>
      <c r="K243" s="18">
        <v>0.3032277567200185</v>
      </c>
      <c r="L243" s="18">
        <v>7.7068897709919062</v>
      </c>
      <c r="M243" s="18">
        <v>8.9052538572316813</v>
      </c>
    </row>
    <row r="244" spans="2:13" x14ac:dyDescent="0.15">
      <c r="B244" s="9" t="s">
        <v>363</v>
      </c>
      <c r="C244" s="15">
        <v>1</v>
      </c>
      <c r="D244" s="18">
        <v>8.7610801038683466</v>
      </c>
      <c r="E244" s="18">
        <v>8.6823496401957954</v>
      </c>
      <c r="F244" s="18">
        <v>7.873046367255121E-2</v>
      </c>
      <c r="G244" s="18">
        <v>0.26445386763329143</v>
      </c>
      <c r="H244" s="18">
        <v>6.4254961598829652E-2</v>
      </c>
      <c r="I244" s="18">
        <v>8.5553809893445951</v>
      </c>
      <c r="J244" s="18">
        <v>8.8093182910469956</v>
      </c>
      <c r="K244" s="18">
        <v>0.30456481281868719</v>
      </c>
      <c r="L244" s="18">
        <v>8.0805255566056289</v>
      </c>
      <c r="M244" s="18">
        <v>9.2841737237859618</v>
      </c>
    </row>
    <row r="245" spans="2:13" x14ac:dyDescent="0.15">
      <c r="B245" s="9" t="s">
        <v>364</v>
      </c>
      <c r="C245" s="15">
        <v>1</v>
      </c>
      <c r="D245" s="18">
        <v>9.2398991742177277</v>
      </c>
      <c r="E245" s="18">
        <v>8.7483651256454227</v>
      </c>
      <c r="F245" s="18">
        <v>0.49153404857230498</v>
      </c>
      <c r="G245" s="18">
        <v>1.6510518820139448</v>
      </c>
      <c r="H245" s="18">
        <v>6.737996835887626E-2</v>
      </c>
      <c r="I245" s="18">
        <v>8.6152214202560025</v>
      </c>
      <c r="J245" s="18">
        <v>8.8815088310348429</v>
      </c>
      <c r="K245" s="18">
        <v>0.30523939007483625</v>
      </c>
      <c r="L245" s="18">
        <v>8.1452080685077366</v>
      </c>
      <c r="M245" s="18">
        <v>9.3515221827831088</v>
      </c>
    </row>
    <row r="246" spans="2:13" x14ac:dyDescent="0.15">
      <c r="B246" s="9" t="s">
        <v>365</v>
      </c>
      <c r="C246" s="15">
        <v>1</v>
      </c>
      <c r="D246" s="18">
        <v>9.062652099076578</v>
      </c>
      <c r="E246" s="18">
        <v>8.7989421471658975</v>
      </c>
      <c r="F246" s="18">
        <v>0.26370995191068047</v>
      </c>
      <c r="G246" s="18">
        <v>0.88579583382388694</v>
      </c>
      <c r="H246" s="18">
        <v>7.2206059808933201E-2</v>
      </c>
      <c r="I246" s="18">
        <v>8.656262021474431</v>
      </c>
      <c r="J246" s="18">
        <v>8.941622272857364</v>
      </c>
      <c r="K246" s="18">
        <v>0.30634088886458843</v>
      </c>
      <c r="L246" s="18">
        <v>8.1936085139044526</v>
      </c>
      <c r="M246" s="18">
        <v>9.4042757804273425</v>
      </c>
    </row>
    <row r="247" spans="2:13" x14ac:dyDescent="0.15">
      <c r="B247" s="9" t="s">
        <v>366</v>
      </c>
      <c r="C247" s="15">
        <v>1</v>
      </c>
      <c r="D247" s="18">
        <v>8.1001614469366068</v>
      </c>
      <c r="E247" s="18">
        <v>8.3529186675191109</v>
      </c>
      <c r="F247" s="18">
        <v>-0.25275722058250416</v>
      </c>
      <c r="G247" s="18">
        <v>-0.84900585411626861</v>
      </c>
      <c r="H247" s="18">
        <v>5.663740790500623E-2</v>
      </c>
      <c r="I247" s="18">
        <v>8.2410024031486611</v>
      </c>
      <c r="J247" s="18">
        <v>8.4648349318895608</v>
      </c>
      <c r="K247" s="18">
        <v>0.30304920572641819</v>
      </c>
      <c r="L247" s="18">
        <v>7.7540894435154666</v>
      </c>
      <c r="M247" s="18">
        <v>8.9517478915227553</v>
      </c>
    </row>
    <row r="248" spans="2:13" x14ac:dyDescent="0.15">
      <c r="B248" s="9" t="s">
        <v>367</v>
      </c>
      <c r="C248" s="15">
        <v>1</v>
      </c>
      <c r="D248" s="18">
        <v>8.9376125913062126</v>
      </c>
      <c r="E248" s="18">
        <v>8.7447935771075844</v>
      </c>
      <c r="F248" s="18">
        <v>0.19281901419862812</v>
      </c>
      <c r="G248" s="18">
        <v>0.64767475865690383</v>
      </c>
      <c r="H248" s="18">
        <v>8.5312871175392629E-2</v>
      </c>
      <c r="I248" s="18">
        <v>8.5762142194385085</v>
      </c>
      <c r="J248" s="18">
        <v>8.9133729347766604</v>
      </c>
      <c r="K248" s="18">
        <v>0.30969228454290559</v>
      </c>
      <c r="L248" s="18">
        <v>8.1328375418221341</v>
      </c>
      <c r="M248" s="18">
        <v>9.3567496123930347</v>
      </c>
    </row>
    <row r="249" spans="2:13" x14ac:dyDescent="0.15">
      <c r="B249" s="9" t="s">
        <v>368</v>
      </c>
      <c r="C249" s="15">
        <v>1</v>
      </c>
      <c r="D249" s="18">
        <v>8.173293438966228</v>
      </c>
      <c r="E249" s="18">
        <v>7.8968783549516886</v>
      </c>
      <c r="F249" s="18">
        <v>0.2764150840145394</v>
      </c>
      <c r="G249" s="18">
        <v>0.92847208856603713</v>
      </c>
      <c r="H249" s="18">
        <v>7.2379346939675168E-2</v>
      </c>
      <c r="I249" s="18">
        <v>7.7538558116063525</v>
      </c>
      <c r="J249" s="18">
        <v>8.0399008982970237</v>
      </c>
      <c r="K249" s="18">
        <v>0.30638177977913233</v>
      </c>
      <c r="L249" s="18">
        <v>7.2914639207042562</v>
      </c>
      <c r="M249" s="18">
        <v>8.5022927891991209</v>
      </c>
    </row>
    <row r="250" spans="2:13" x14ac:dyDescent="0.15">
      <c r="B250" s="9" t="s">
        <v>369</v>
      </c>
      <c r="C250" s="15">
        <v>1</v>
      </c>
      <c r="D250" s="18">
        <v>8.0336584278861505</v>
      </c>
      <c r="E250" s="18">
        <v>7.8967578312030504</v>
      </c>
      <c r="F250" s="18">
        <v>0.13690059668310006</v>
      </c>
      <c r="G250" s="18">
        <v>0.45984604415296204</v>
      </c>
      <c r="H250" s="18">
        <v>7.1417291923621659E-2</v>
      </c>
      <c r="I250" s="18">
        <v>7.7556363212470982</v>
      </c>
      <c r="J250" s="18">
        <v>8.0378793411590017</v>
      </c>
      <c r="K250" s="18">
        <v>0.30615593200674501</v>
      </c>
      <c r="L250" s="18">
        <v>7.2917896751300075</v>
      </c>
      <c r="M250" s="18">
        <v>8.5017259872760942</v>
      </c>
    </row>
    <row r="251" spans="2:13" x14ac:dyDescent="0.15">
      <c r="B251" s="9" t="s">
        <v>370</v>
      </c>
      <c r="C251" s="15">
        <v>1</v>
      </c>
      <c r="D251" s="18">
        <v>8.9791646489647086</v>
      </c>
      <c r="E251" s="18">
        <v>9.1347256253848155</v>
      </c>
      <c r="F251" s="18">
        <v>-0.15556097642010691</v>
      </c>
      <c r="G251" s="18">
        <v>-0.52252584257866153</v>
      </c>
      <c r="H251" s="18">
        <v>9.4409621027244442E-2</v>
      </c>
      <c r="I251" s="18">
        <v>8.9481709701343384</v>
      </c>
      <c r="J251" s="18">
        <v>9.3212802806352926</v>
      </c>
      <c r="K251" s="18">
        <v>0.31232067120144769</v>
      </c>
      <c r="L251" s="18">
        <v>8.517575863426023</v>
      </c>
      <c r="M251" s="18">
        <v>9.7518753873436079</v>
      </c>
    </row>
    <row r="252" spans="2:13" x14ac:dyDescent="0.15">
      <c r="B252" s="9" t="s">
        <v>371</v>
      </c>
      <c r="C252" s="15">
        <v>1</v>
      </c>
      <c r="D252" s="18">
        <v>8.0845624152353039</v>
      </c>
      <c r="E252" s="18">
        <v>7.8374581443069431</v>
      </c>
      <c r="F252" s="18">
        <v>0.24710427092836085</v>
      </c>
      <c r="G252" s="18">
        <v>0.8300177225870029</v>
      </c>
      <c r="H252" s="18">
        <v>8.1977727296321953E-2</v>
      </c>
      <c r="I252" s="18">
        <v>7.6754690748924004</v>
      </c>
      <c r="J252" s="18">
        <v>7.9994472137214858</v>
      </c>
      <c r="K252" s="18">
        <v>0.30879017615507948</v>
      </c>
      <c r="L252" s="18">
        <v>7.2272846870835403</v>
      </c>
      <c r="M252" s="18">
        <v>8.447631601530345</v>
      </c>
    </row>
    <row r="253" spans="2:13" x14ac:dyDescent="0.15">
      <c r="B253" s="9" t="s">
        <v>372</v>
      </c>
      <c r="C253" s="15">
        <v>1</v>
      </c>
      <c r="D253" s="18">
        <v>8.1253350867142906</v>
      </c>
      <c r="E253" s="18">
        <v>8.3207204270056216</v>
      </c>
      <c r="F253" s="18">
        <v>-0.19538534029133103</v>
      </c>
      <c r="G253" s="18">
        <v>-0.65629499063783314</v>
      </c>
      <c r="H253" s="18">
        <v>7.7235020952629588E-2</v>
      </c>
      <c r="I253" s="18">
        <v>8.1681030078241257</v>
      </c>
      <c r="J253" s="18">
        <v>8.4733378461871176</v>
      </c>
      <c r="K253" s="18">
        <v>0.30756507210469791</v>
      </c>
      <c r="L253" s="18">
        <v>7.7129677915298132</v>
      </c>
      <c r="M253" s="18">
        <v>8.9284730624814301</v>
      </c>
    </row>
    <row r="254" spans="2:13" x14ac:dyDescent="0.15">
      <c r="B254" s="9" t="s">
        <v>373</v>
      </c>
      <c r="C254" s="15">
        <v>1</v>
      </c>
      <c r="D254" s="18">
        <v>8.0159878110272373</v>
      </c>
      <c r="E254" s="18">
        <v>8.1109184101069864</v>
      </c>
      <c r="F254" s="18">
        <v>-9.4930599079749101E-2</v>
      </c>
      <c r="G254" s="18">
        <v>-0.31886976034840264</v>
      </c>
      <c r="H254" s="18">
        <v>7.5591621219433108E-2</v>
      </c>
      <c r="I254" s="18">
        <v>7.9615483704544969</v>
      </c>
      <c r="J254" s="18">
        <v>8.2602884497594751</v>
      </c>
      <c r="K254" s="18">
        <v>0.30715650459626787</v>
      </c>
      <c r="L254" s="18">
        <v>7.5039731094118114</v>
      </c>
      <c r="M254" s="18">
        <v>8.7178637108021615</v>
      </c>
    </row>
    <row r="255" spans="2:13" x14ac:dyDescent="0.15">
      <c r="B255" s="9" t="s">
        <v>374</v>
      </c>
      <c r="C255" s="15">
        <v>1</v>
      </c>
      <c r="D255" s="18">
        <v>8.6581717846758099</v>
      </c>
      <c r="E255" s="18">
        <v>8.555608975881805</v>
      </c>
      <c r="F255" s="18">
        <v>0.10256280879400492</v>
      </c>
      <c r="G255" s="18">
        <v>0.34450618217766998</v>
      </c>
      <c r="H255" s="18">
        <v>5.6101812431297374E-2</v>
      </c>
      <c r="I255" s="18">
        <v>8.4447510552253142</v>
      </c>
      <c r="J255" s="18">
        <v>8.6664668965382958</v>
      </c>
      <c r="K255" s="18">
        <v>0.30294956424344194</v>
      </c>
      <c r="L255" s="18">
        <v>7.9569766447615669</v>
      </c>
      <c r="M255" s="18">
        <v>9.1542413070020441</v>
      </c>
    </row>
    <row r="256" spans="2:13" x14ac:dyDescent="0.15">
      <c r="B256" s="9" t="s">
        <v>375</v>
      </c>
      <c r="C256" s="15">
        <v>1</v>
      </c>
      <c r="D256" s="18">
        <v>9.1091931899712257</v>
      </c>
      <c r="E256" s="18">
        <v>8.7212987349358855</v>
      </c>
      <c r="F256" s="18">
        <v>0.38789445503534026</v>
      </c>
      <c r="G256" s="18">
        <v>1.302928803953779</v>
      </c>
      <c r="H256" s="18">
        <v>6.8849382168069989E-2</v>
      </c>
      <c r="I256" s="18">
        <v>8.5852514484960203</v>
      </c>
      <c r="J256" s="18">
        <v>8.8573460213757507</v>
      </c>
      <c r="K256" s="18">
        <v>0.30556711626439753</v>
      </c>
      <c r="L256" s="18">
        <v>8.1174940865289518</v>
      </c>
      <c r="M256" s="18">
        <v>9.3251033833428192</v>
      </c>
    </row>
    <row r="257" spans="2:13" x14ac:dyDescent="0.15">
      <c r="B257" s="9" t="s">
        <v>376</v>
      </c>
      <c r="C257" s="15">
        <v>1</v>
      </c>
      <c r="D257" s="18">
        <v>8.9818073233775344</v>
      </c>
      <c r="E257" s="18">
        <v>8.6897190838394991</v>
      </c>
      <c r="F257" s="18">
        <v>0.29208823953803531</v>
      </c>
      <c r="G257" s="18">
        <v>0.98111786763124587</v>
      </c>
      <c r="H257" s="18">
        <v>5.3307763566872751E-2</v>
      </c>
      <c r="I257" s="18">
        <v>8.5843822405582184</v>
      </c>
      <c r="J257" s="18">
        <v>8.7950559271207798</v>
      </c>
      <c r="K257" s="18">
        <v>0.30244461108394127</v>
      </c>
      <c r="L257" s="18">
        <v>8.0920845468165492</v>
      </c>
      <c r="M257" s="18">
        <v>9.287353620862449</v>
      </c>
    </row>
    <row r="258" spans="2:13" x14ac:dyDescent="0.15">
      <c r="B258" s="9" t="s">
        <v>377</v>
      </c>
      <c r="C258" s="15">
        <v>1</v>
      </c>
      <c r="D258" s="18">
        <v>8.1975387397211836</v>
      </c>
      <c r="E258" s="18">
        <v>8.3326077563463432</v>
      </c>
      <c r="F258" s="18">
        <v>-0.13506901662515958</v>
      </c>
      <c r="G258" s="18">
        <v>-0.45369380767920126</v>
      </c>
      <c r="H258" s="18">
        <v>5.0539076374145002E-2</v>
      </c>
      <c r="I258" s="18">
        <v>8.2327418754427928</v>
      </c>
      <c r="J258" s="18">
        <v>8.4324736372498936</v>
      </c>
      <c r="K258" s="18">
        <v>0.30196891124413211</v>
      </c>
      <c r="L258" s="18">
        <v>7.7359132084754814</v>
      </c>
      <c r="M258" s="18">
        <v>8.9293023042172042</v>
      </c>
    </row>
    <row r="259" spans="2:13" x14ac:dyDescent="0.15">
      <c r="B259" s="9" t="s">
        <v>378</v>
      </c>
      <c r="C259" s="15">
        <v>1</v>
      </c>
      <c r="D259" s="18">
        <v>8.1140254423567573</v>
      </c>
      <c r="E259" s="18">
        <v>8.0052843541339893</v>
      </c>
      <c r="F259" s="18">
        <v>0.10874108822276796</v>
      </c>
      <c r="G259" s="18">
        <v>0.36525888467731527</v>
      </c>
      <c r="H259" s="18">
        <v>6.0155878823031493E-2</v>
      </c>
      <c r="I259" s="18">
        <v>7.8864155448642048</v>
      </c>
      <c r="J259" s="18">
        <v>8.1241531634037738</v>
      </c>
      <c r="K259" s="18">
        <v>0.30372644743944532</v>
      </c>
      <c r="L259" s="18">
        <v>7.4051168915809225</v>
      </c>
      <c r="M259" s="18">
        <v>8.6054518166870562</v>
      </c>
    </row>
    <row r="260" spans="2:13" x14ac:dyDescent="0.15">
      <c r="B260" s="9" t="s">
        <v>379</v>
      </c>
      <c r="C260" s="15">
        <v>1</v>
      </c>
      <c r="D260" s="18">
        <v>8.1886891244442008</v>
      </c>
      <c r="E260" s="18">
        <v>8.27199400525401</v>
      </c>
      <c r="F260" s="18">
        <v>-8.3304880809809134E-2</v>
      </c>
      <c r="G260" s="18">
        <v>-0.27981923254651281</v>
      </c>
      <c r="H260" s="18">
        <v>5.126305737128236E-2</v>
      </c>
      <c r="I260" s="18">
        <v>8.1706975283597192</v>
      </c>
      <c r="J260" s="18">
        <v>8.3732904821483007</v>
      </c>
      <c r="K260" s="18">
        <v>0.30209092367740259</v>
      </c>
      <c r="L260" s="18">
        <v>7.6750583592071635</v>
      </c>
      <c r="M260" s="18">
        <v>8.8689296513008564</v>
      </c>
    </row>
    <row r="261" spans="2:13" x14ac:dyDescent="0.15">
      <c r="B261" s="9" t="s">
        <v>380</v>
      </c>
      <c r="C261" s="15">
        <v>1</v>
      </c>
      <c r="D261" s="18">
        <v>9.0935818113659863</v>
      </c>
      <c r="E261" s="18">
        <v>8.9362196588059124</v>
      </c>
      <c r="F261" s="18">
        <v>0.15736215256007391</v>
      </c>
      <c r="G261" s="18">
        <v>0.52857595297156068</v>
      </c>
      <c r="H261" s="18">
        <v>7.9566451854135162E-2</v>
      </c>
      <c r="I261" s="18">
        <v>8.7789953014401689</v>
      </c>
      <c r="J261" s="18">
        <v>9.0934440161716559</v>
      </c>
      <c r="K261" s="18">
        <v>0.30815879896227416</v>
      </c>
      <c r="L261" s="18">
        <v>8.3272938112355863</v>
      </c>
      <c r="M261" s="18">
        <v>9.5451455063762385</v>
      </c>
    </row>
    <row r="262" spans="2:13" x14ac:dyDescent="0.15">
      <c r="B262" s="9" t="s">
        <v>381</v>
      </c>
      <c r="C262" s="15">
        <v>1</v>
      </c>
      <c r="D262" s="18">
        <v>9.5666152358935754</v>
      </c>
      <c r="E262" s="18">
        <v>9.2335346432306604</v>
      </c>
      <c r="F262" s="18">
        <v>0.33308059266291501</v>
      </c>
      <c r="G262" s="18">
        <v>1.1188102654856684</v>
      </c>
      <c r="H262" s="18">
        <v>8.0747287447515192E-2</v>
      </c>
      <c r="I262" s="18">
        <v>9.0739769391717129</v>
      </c>
      <c r="J262" s="18">
        <v>9.393092347289608</v>
      </c>
      <c r="K262" s="18">
        <v>0.30846579963967891</v>
      </c>
      <c r="L262" s="18">
        <v>8.6240021582762232</v>
      </c>
      <c r="M262" s="18">
        <v>9.8430671281850977</v>
      </c>
    </row>
    <row r="263" spans="2:13" x14ac:dyDescent="0.15">
      <c r="B263" s="9" t="s">
        <v>382</v>
      </c>
      <c r="C263" s="15">
        <v>1</v>
      </c>
      <c r="D263" s="18">
        <v>9.4662221318781654</v>
      </c>
      <c r="E263" s="18">
        <v>9.2537053572359866</v>
      </c>
      <c r="F263" s="18">
        <v>0.21251677464217877</v>
      </c>
      <c r="G263" s="18">
        <v>0.71383909568756665</v>
      </c>
      <c r="H263" s="18">
        <v>5.420689958113916E-2</v>
      </c>
      <c r="I263" s="18">
        <v>9.1465918093419809</v>
      </c>
      <c r="J263" s="18">
        <v>9.3608189051299924</v>
      </c>
      <c r="K263" s="18">
        <v>0.30260438377428472</v>
      </c>
      <c r="L263" s="18">
        <v>8.6557551072714833</v>
      </c>
      <c r="M263" s="18">
        <v>9.8516556072004899</v>
      </c>
    </row>
    <row r="264" spans="2:13" x14ac:dyDescent="0.15">
      <c r="B264" s="9" t="s">
        <v>383</v>
      </c>
      <c r="C264" s="15">
        <v>1</v>
      </c>
      <c r="D264" s="18">
        <v>8.1397322797176699</v>
      </c>
      <c r="E264" s="18">
        <v>8.1989175118548427</v>
      </c>
      <c r="F264" s="18">
        <v>-5.9185232137172861E-2</v>
      </c>
      <c r="G264" s="18">
        <v>-0.19880187179573805</v>
      </c>
      <c r="H264" s="18">
        <v>7.9193345541652305E-2</v>
      </c>
      <c r="I264" s="18">
        <v>8.0424304174792454</v>
      </c>
      <c r="J264" s="18">
        <v>8.3554046062304401</v>
      </c>
      <c r="K264" s="18">
        <v>0.30806267397283693</v>
      </c>
      <c r="L264" s="18">
        <v>7.5901816085303491</v>
      </c>
      <c r="M264" s="18">
        <v>8.8076534151793364</v>
      </c>
    </row>
    <row r="265" spans="2:13" x14ac:dyDescent="0.15">
      <c r="B265" s="9" t="s">
        <v>384</v>
      </c>
      <c r="C265" s="15">
        <v>1</v>
      </c>
      <c r="D265" s="18">
        <v>8.2464337861603649</v>
      </c>
      <c r="E265" s="18">
        <v>8.3909335050161626</v>
      </c>
      <c r="F265" s="18">
        <v>-0.14449971885579771</v>
      </c>
      <c r="G265" s="18">
        <v>-0.48537132566973323</v>
      </c>
      <c r="H265" s="18">
        <v>7.8865925403383288E-2</v>
      </c>
      <c r="I265" s="18">
        <v>8.2350933971484253</v>
      </c>
      <c r="J265" s="18">
        <v>8.5467736128839</v>
      </c>
      <c r="K265" s="18">
        <v>0.30797866696728671</v>
      </c>
      <c r="L265" s="18">
        <v>7.7823636006416548</v>
      </c>
      <c r="M265" s="18">
        <v>8.9995034093906714</v>
      </c>
    </row>
    <row r="266" spans="2:13" x14ac:dyDescent="0.15">
      <c r="B266" s="9" t="s">
        <v>385</v>
      </c>
      <c r="C266" s="15">
        <v>1</v>
      </c>
      <c r="D266" s="18">
        <v>8.1684864171266813</v>
      </c>
      <c r="E266" s="18">
        <v>7.8046859899844385</v>
      </c>
      <c r="F266" s="18">
        <v>0.36380042714224281</v>
      </c>
      <c r="G266" s="18">
        <v>1.2219975028287799</v>
      </c>
      <c r="H266" s="18">
        <v>7.4176195517477977E-2</v>
      </c>
      <c r="I266" s="18">
        <v>7.6581128501710527</v>
      </c>
      <c r="J266" s="18">
        <v>7.9512591297978243</v>
      </c>
      <c r="K266" s="18">
        <v>0.30681123365786656</v>
      </c>
      <c r="L266" s="18">
        <v>7.198422949213418</v>
      </c>
      <c r="M266" s="18">
        <v>8.4109490307554591</v>
      </c>
    </row>
    <row r="267" spans="2:13" x14ac:dyDescent="0.15">
      <c r="B267" s="9" t="s">
        <v>386</v>
      </c>
      <c r="C267" s="15">
        <v>1</v>
      </c>
      <c r="D267" s="18">
        <v>8.144969417087875</v>
      </c>
      <c r="E267" s="18">
        <v>8.1522664634580586</v>
      </c>
      <c r="F267" s="18">
        <v>-7.2970463701835797E-3</v>
      </c>
      <c r="G267" s="18">
        <v>-2.4510615648352961E-2</v>
      </c>
      <c r="H267" s="18">
        <v>7.0453693029744358E-2</v>
      </c>
      <c r="I267" s="18">
        <v>8.0130490376144152</v>
      </c>
      <c r="J267" s="18">
        <v>8.291483889301702</v>
      </c>
      <c r="K267" s="18">
        <v>0.30593258731090472</v>
      </c>
      <c r="L267" s="18">
        <v>7.5477396394471628</v>
      </c>
      <c r="M267" s="18">
        <v>8.7567932874689536</v>
      </c>
    </row>
    <row r="268" spans="2:13" x14ac:dyDescent="0.15">
      <c r="B268" s="9" t="s">
        <v>387</v>
      </c>
      <c r="C268" s="15">
        <v>1</v>
      </c>
      <c r="D268" s="18">
        <v>8.1146238864200981</v>
      </c>
      <c r="E268" s="18">
        <v>7.9495684982775394</v>
      </c>
      <c r="F268" s="18">
        <v>0.16505538814255871</v>
      </c>
      <c r="G268" s="18">
        <v>0.55441735932811287</v>
      </c>
      <c r="H268" s="18">
        <v>6.1817745934187311E-2</v>
      </c>
      <c r="I268" s="18">
        <v>7.8274158176965427</v>
      </c>
      <c r="J268" s="18">
        <v>8.0717211788585352</v>
      </c>
      <c r="K268" s="18">
        <v>0.30405995926724488</v>
      </c>
      <c r="L268" s="18">
        <v>7.3487420119578264</v>
      </c>
      <c r="M268" s="18">
        <v>8.5503949845972524</v>
      </c>
    </row>
    <row r="269" spans="2:13" x14ac:dyDescent="0.15">
      <c r="B269" s="9" t="s">
        <v>388</v>
      </c>
      <c r="C269" s="15">
        <v>1</v>
      </c>
      <c r="D269" s="18">
        <v>8.1738574547736214</v>
      </c>
      <c r="E269" s="18">
        <v>7.8858119445174113</v>
      </c>
      <c r="F269" s="18">
        <v>0.28804551025621006</v>
      </c>
      <c r="G269" s="18">
        <v>0.96753843033973419</v>
      </c>
      <c r="H269" s="18">
        <v>8.3295345710724555E-2</v>
      </c>
      <c r="I269" s="18">
        <v>7.7212192437528433</v>
      </c>
      <c r="J269" s="18">
        <v>8.0504046452819793</v>
      </c>
      <c r="K269" s="18">
        <v>0.30914258803064321</v>
      </c>
      <c r="L269" s="18">
        <v>7.2749421167839206</v>
      </c>
      <c r="M269" s="18">
        <v>8.496681772250902</v>
      </c>
    </row>
    <row r="270" spans="2:13" ht="14" thickBot="1" x14ac:dyDescent="0.2">
      <c r="B270" s="13" t="s">
        <v>389</v>
      </c>
      <c r="C270" s="16">
        <v>1</v>
      </c>
      <c r="D270" s="19">
        <v>8.1262225294585253</v>
      </c>
      <c r="E270" s="19">
        <v>7.909880264897291</v>
      </c>
      <c r="F270" s="19">
        <v>0.21634226456123429</v>
      </c>
      <c r="G270" s="19">
        <v>0.72668883081543312</v>
      </c>
      <c r="H270" s="19">
        <v>7.192958866528365E-2</v>
      </c>
      <c r="I270" s="19">
        <v>7.7677464498289277</v>
      </c>
      <c r="J270" s="19">
        <v>8.0520140799656552</v>
      </c>
      <c r="K270" s="19">
        <v>0.30627584110205586</v>
      </c>
      <c r="L270" s="19">
        <v>7.3046751668717889</v>
      </c>
      <c r="M270" s="19">
        <v>8.5150853629227932</v>
      </c>
    </row>
    <row r="292" spans="6:6" x14ac:dyDescent="0.15">
      <c r="F292" t="s">
        <v>230</v>
      </c>
    </row>
    <row r="314" spans="6:6" x14ac:dyDescent="0.15">
      <c r="F314" t="s">
        <v>230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679100">
              <controlPr defaultSize="0" autoFill="0" autoPict="0" macro="[0]!GoToResultsNew1101202119170597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XLSTAT_20211101_191526_1_HID"/>
  <dimension ref="A1:H70"/>
  <sheetViews>
    <sheetView workbookViewId="0"/>
  </sheetViews>
  <sheetFormatPr baseColWidth="10" defaultRowHeight="13" x14ac:dyDescent="0.15"/>
  <sheetData>
    <row r="1" spans="1:8" x14ac:dyDescent="0.15">
      <c r="A1">
        <v>1</v>
      </c>
      <c r="C1">
        <f t="shared" ref="C1:C32" si="0">7.69652879893523+(A1-1)*0.0712146394278619</f>
        <v>7.6965287989352298</v>
      </c>
      <c r="D1">
        <f t="shared" ref="D1:D32" si="1">0+1*C1-0.588278156393869*(1.00641025641026+(C1-8.65855344214185)^2/38.063255552123)^0.5</f>
        <v>7.0992816440784976</v>
      </c>
      <c r="E1">
        <v>1</v>
      </c>
      <c r="G1">
        <f t="shared" ref="G1:G32" si="2">6.24374879198755+(E1-1)*0.0922694221372485</f>
        <v>6.2437487919875503</v>
      </c>
      <c r="H1">
        <f t="shared" ref="H1:H32" si="3">0+1*G1+0.588278156393869*(1.00641025641026+(G1-8.65855344214185)^2/38.063255552123)^0.5</f>
        <v>6.8772372421018</v>
      </c>
    </row>
    <row r="2" spans="1:8" x14ac:dyDescent="0.15">
      <c r="A2">
        <v>2</v>
      </c>
      <c r="C2">
        <f t="shared" si="0"/>
        <v>7.7677434383630919</v>
      </c>
      <c r="D2">
        <f t="shared" si="1"/>
        <v>7.1715014708052909</v>
      </c>
      <c r="E2">
        <v>2</v>
      </c>
      <c r="G2">
        <f t="shared" si="2"/>
        <v>6.3360182141247989</v>
      </c>
      <c r="H2">
        <f t="shared" si="3"/>
        <v>6.9663620860239615</v>
      </c>
    </row>
    <row r="3" spans="1:8" x14ac:dyDescent="0.15">
      <c r="A3">
        <v>3</v>
      </c>
      <c r="C3">
        <f t="shared" si="0"/>
        <v>7.838958077790954</v>
      </c>
      <c r="D3">
        <f t="shared" si="1"/>
        <v>7.2436455343343651</v>
      </c>
      <c r="E3">
        <v>3</v>
      </c>
      <c r="G3">
        <f t="shared" si="2"/>
        <v>6.4282876362620476</v>
      </c>
      <c r="H3">
        <f t="shared" si="3"/>
        <v>7.0555945702491902</v>
      </c>
    </row>
    <row r="4" spans="1:8" x14ac:dyDescent="0.15">
      <c r="A4">
        <v>4</v>
      </c>
      <c r="C4">
        <f t="shared" si="0"/>
        <v>7.9101727172188152</v>
      </c>
      <c r="D4">
        <f t="shared" si="1"/>
        <v>7.3157134793032732</v>
      </c>
      <c r="E4">
        <v>4</v>
      </c>
      <c r="G4">
        <f t="shared" si="2"/>
        <v>6.5205570583992962</v>
      </c>
      <c r="H4">
        <f t="shared" si="3"/>
        <v>7.144936265444759</v>
      </c>
    </row>
    <row r="5" spans="1:8" x14ac:dyDescent="0.15">
      <c r="A5">
        <v>5</v>
      </c>
      <c r="C5">
        <f t="shared" si="0"/>
        <v>7.9813873566466773</v>
      </c>
      <c r="D5">
        <f t="shared" si="1"/>
        <v>7.3877049774940557</v>
      </c>
      <c r="E5">
        <v>5</v>
      </c>
      <c r="G5">
        <f t="shared" si="2"/>
        <v>6.612826480536544</v>
      </c>
      <c r="H5">
        <f t="shared" si="3"/>
        <v>7.2343887148525789</v>
      </c>
    </row>
    <row r="6" spans="1:8" x14ac:dyDescent="0.15">
      <c r="A6">
        <v>6</v>
      </c>
      <c r="C6">
        <f t="shared" si="0"/>
        <v>8.0526019960745394</v>
      </c>
      <c r="D6">
        <f t="shared" si="1"/>
        <v>7.4596197284506864</v>
      </c>
      <c r="E6">
        <v>6</v>
      </c>
      <c r="G6">
        <f t="shared" si="2"/>
        <v>6.7050959026737926</v>
      </c>
      <c r="H6">
        <f t="shared" si="3"/>
        <v>7.3239534308981895</v>
      </c>
    </row>
    <row r="7" spans="1:8" x14ac:dyDescent="0.15">
      <c r="A7">
        <v>7</v>
      </c>
      <c r="C7">
        <f t="shared" si="0"/>
        <v>8.1238166355024006</v>
      </c>
      <c r="D7">
        <f t="shared" si="1"/>
        <v>7.5314574600495732</v>
      </c>
      <c r="E7">
        <v>7</v>
      </c>
      <c r="G7">
        <f t="shared" si="2"/>
        <v>6.7973653248110413</v>
      </c>
      <c r="H7">
        <f t="shared" si="3"/>
        <v>7.4136318917501605</v>
      </c>
    </row>
    <row r="8" spans="1:8" x14ac:dyDescent="0.15">
      <c r="A8">
        <v>8</v>
      </c>
      <c r="C8">
        <f t="shared" si="0"/>
        <v>8.1950312749302636</v>
      </c>
      <c r="D8">
        <f t="shared" si="1"/>
        <v>7.6032179290205946</v>
      </c>
      <c r="E8">
        <v>8</v>
      </c>
      <c r="G8">
        <f t="shared" si="2"/>
        <v>6.8896347469482899</v>
      </c>
      <c r="H8">
        <f t="shared" si="3"/>
        <v>7.5034255378442563</v>
      </c>
    </row>
    <row r="9" spans="1:8" x14ac:dyDescent="0.15">
      <c r="A9">
        <v>9</v>
      </c>
      <c r="C9">
        <f t="shared" si="0"/>
        <v>8.2662459143581248</v>
      </c>
      <c r="D9">
        <f t="shared" si="1"/>
        <v>7.6749009214163895</v>
      </c>
      <c r="E9">
        <v>9</v>
      </c>
      <c r="G9">
        <f t="shared" si="2"/>
        <v>6.9819041690855386</v>
      </c>
      <c r="H9">
        <f t="shared" si="3"/>
        <v>7.5933357683877922</v>
      </c>
    </row>
    <row r="10" spans="1:8" x14ac:dyDescent="0.15">
      <c r="A10">
        <v>10</v>
      </c>
      <c r="C10">
        <f t="shared" si="0"/>
        <v>8.3374605537859861</v>
      </c>
      <c r="D10">
        <f t="shared" si="1"/>
        <v>7.7465062530278459</v>
      </c>
      <c r="E10">
        <v>10</v>
      </c>
      <c r="G10">
        <f t="shared" si="2"/>
        <v>7.0741735912227863</v>
      </c>
      <c r="H10">
        <f t="shared" si="3"/>
        <v>7.6833639378606629</v>
      </c>
    </row>
    <row r="11" spans="1:8" x14ac:dyDescent="0.15">
      <c r="A11">
        <v>11</v>
      </c>
      <c r="C11">
        <f t="shared" si="0"/>
        <v>8.408675193213849</v>
      </c>
      <c r="D11">
        <f t="shared" si="1"/>
        <v>7.818033769743872</v>
      </c>
      <c r="E11">
        <v>11</v>
      </c>
      <c r="G11">
        <f t="shared" si="2"/>
        <v>7.166443013360035</v>
      </c>
      <c r="H11">
        <f t="shared" si="3"/>
        <v>7.7735113525304209</v>
      </c>
    </row>
    <row r="12" spans="1:8" x14ac:dyDescent="0.15">
      <c r="A12">
        <v>12</v>
      </c>
      <c r="C12">
        <f t="shared" si="0"/>
        <v>8.4798898326417103</v>
      </c>
      <c r="D12">
        <f t="shared" si="1"/>
        <v>7.8894833478538509</v>
      </c>
      <c r="E12">
        <v>12</v>
      </c>
      <c r="G12">
        <f t="shared" si="2"/>
        <v>7.2587124354972836</v>
      </c>
      <c r="H12">
        <f t="shared" si="3"/>
        <v>7.8637792669996003</v>
      </c>
    </row>
    <row r="13" spans="1:8" x14ac:dyDescent="0.15">
      <c r="A13">
        <v>13</v>
      </c>
      <c r="C13">
        <f t="shared" si="0"/>
        <v>8.5511044720695732</v>
      </c>
      <c r="D13">
        <f t="shared" si="1"/>
        <v>7.9608548942914172</v>
      </c>
      <c r="E13">
        <v>13</v>
      </c>
      <c r="G13">
        <f t="shared" si="2"/>
        <v>7.3509818576345323</v>
      </c>
      <c r="H13">
        <f t="shared" si="3"/>
        <v>7.9541688808041826</v>
      </c>
    </row>
    <row r="14" spans="1:8" x14ac:dyDescent="0.15">
      <c r="A14">
        <v>14</v>
      </c>
      <c r="C14">
        <f t="shared" si="0"/>
        <v>8.6223191114974345</v>
      </c>
      <c r="D14">
        <f t="shared" si="1"/>
        <v>8.0321483468183938</v>
      </c>
      <c r="E14">
        <v>14</v>
      </c>
      <c r="G14">
        <f t="shared" si="2"/>
        <v>7.4432512797717809</v>
      </c>
      <c r="H14">
        <f t="shared" si="3"/>
        <v>8.0446813350825597</v>
      </c>
    </row>
    <row r="15" spans="1:8" x14ac:dyDescent="0.15">
      <c r="A15">
        <v>15</v>
      </c>
      <c r="C15">
        <f t="shared" si="0"/>
        <v>8.6935337509252957</v>
      </c>
      <c r="D15">
        <f t="shared" si="1"/>
        <v>8.1033636741480883</v>
      </c>
      <c r="E15">
        <v>15</v>
      </c>
      <c r="G15">
        <f t="shared" si="2"/>
        <v>7.5355207019090287</v>
      </c>
      <c r="H15">
        <f t="shared" si="3"/>
        <v>8.1353177093347373</v>
      </c>
    </row>
    <row r="16" spans="1:8" x14ac:dyDescent="0.15">
      <c r="A16">
        <v>16</v>
      </c>
      <c r="C16">
        <f t="shared" si="0"/>
        <v>8.7647483903531587</v>
      </c>
      <c r="D16">
        <f t="shared" si="1"/>
        <v>8.1745008760073521</v>
      </c>
      <c r="E16">
        <v>16</v>
      </c>
      <c r="G16">
        <f t="shared" si="2"/>
        <v>7.6277901240462782</v>
      </c>
      <c r="H16">
        <f t="shared" si="3"/>
        <v>8.2260790182916868</v>
      </c>
    </row>
    <row r="17" spans="1:8" x14ac:dyDescent="0.15">
      <c r="A17">
        <v>17</v>
      </c>
      <c r="C17">
        <f t="shared" si="0"/>
        <v>8.8359630297810199</v>
      </c>
      <c r="D17">
        <f t="shared" si="1"/>
        <v>8.2455599831371114</v>
      </c>
      <c r="E17">
        <v>17</v>
      </c>
      <c r="G17">
        <f t="shared" si="2"/>
        <v>7.720059546183526</v>
      </c>
      <c r="H17">
        <f t="shared" si="3"/>
        <v>8.3169662089146446</v>
      </c>
    </row>
    <row r="18" spans="1:8" x14ac:dyDescent="0.15">
      <c r="A18">
        <v>18</v>
      </c>
      <c r="C18">
        <f t="shared" si="0"/>
        <v>8.9071776692088811</v>
      </c>
      <c r="D18">
        <f t="shared" si="1"/>
        <v>8.3165410572314027</v>
      </c>
      <c r="E18">
        <v>18</v>
      </c>
      <c r="G18">
        <f t="shared" si="2"/>
        <v>7.8123289683207746</v>
      </c>
      <c r="H18">
        <f t="shared" si="3"/>
        <v>8.4079801575440118</v>
      </c>
    </row>
    <row r="19" spans="1:8" x14ac:dyDescent="0.15">
      <c r="A19">
        <v>19</v>
      </c>
      <c r="C19">
        <f t="shared" si="0"/>
        <v>8.9783923086367441</v>
      </c>
      <c r="D19">
        <f t="shared" si="1"/>
        <v>8.3874441908151578</v>
      </c>
      <c r="E19">
        <v>19</v>
      </c>
      <c r="G19">
        <f t="shared" si="2"/>
        <v>7.9045983904580233</v>
      </c>
      <c r="H19">
        <f t="shared" si="3"/>
        <v>8.4991216672169436</v>
      </c>
    </row>
    <row r="20" spans="1:8" x14ac:dyDescent="0.15">
      <c r="A20">
        <v>20</v>
      </c>
      <c r="C20">
        <f t="shared" si="0"/>
        <v>9.0496069480646053</v>
      </c>
      <c r="D20">
        <f t="shared" si="1"/>
        <v>8.458269507061301</v>
      </c>
      <c r="E20">
        <v>20</v>
      </c>
      <c r="G20">
        <f t="shared" si="2"/>
        <v>7.9968678125952719</v>
      </c>
      <c r="H20">
        <f t="shared" si="3"/>
        <v>8.5903914651720825</v>
      </c>
    </row>
    <row r="21" spans="1:8" x14ac:dyDescent="0.15">
      <c r="A21">
        <v>21</v>
      </c>
      <c r="C21">
        <f t="shared" si="0"/>
        <v>9.1208215874924683</v>
      </c>
      <c r="D21">
        <f t="shared" si="1"/>
        <v>8.5290171595480544</v>
      </c>
      <c r="E21">
        <v>21</v>
      </c>
      <c r="G21">
        <f t="shared" si="2"/>
        <v>8.0891372347325206</v>
      </c>
      <c r="H21">
        <f t="shared" si="3"/>
        <v>8.6817902005589982</v>
      </c>
    </row>
    <row r="22" spans="1:8" x14ac:dyDescent="0.15">
      <c r="A22">
        <v>22</v>
      </c>
      <c r="C22">
        <f t="shared" si="0"/>
        <v>9.1920362269203295</v>
      </c>
      <c r="D22">
        <f t="shared" si="1"/>
        <v>8.5996873319574778</v>
      </c>
      <c r="E22">
        <v>22</v>
      </c>
      <c r="G22">
        <f t="shared" si="2"/>
        <v>8.1814066568697683</v>
      </c>
      <c r="H22">
        <f t="shared" si="3"/>
        <v>8.7733184423687334</v>
      </c>
    </row>
    <row r="23" spans="1:8" x14ac:dyDescent="0.15">
      <c r="A23">
        <v>23</v>
      </c>
      <c r="C23">
        <f t="shared" si="0"/>
        <v>9.2632508663481907</v>
      </c>
      <c r="D23">
        <f t="shared" si="1"/>
        <v>8.6702802377166996</v>
      </c>
      <c r="E23">
        <v>23</v>
      </c>
      <c r="G23">
        <f t="shared" si="2"/>
        <v>8.2736760790070178</v>
      </c>
      <c r="H23">
        <f t="shared" si="3"/>
        <v>8.8649766776005539</v>
      </c>
    </row>
    <row r="24" spans="1:8" x14ac:dyDescent="0.15">
      <c r="A24">
        <v>24</v>
      </c>
      <c r="C24">
        <f t="shared" si="0"/>
        <v>9.3344655057760537</v>
      </c>
      <c r="D24">
        <f t="shared" si="1"/>
        <v>8.7407961195834041</v>
      </c>
      <c r="E24">
        <v>24</v>
      </c>
      <c r="G24">
        <f t="shared" si="2"/>
        <v>8.3659455011442656</v>
      </c>
      <c r="H24">
        <f t="shared" si="3"/>
        <v>8.9567653096784952</v>
      </c>
    </row>
    <row r="25" spans="1:8" x14ac:dyDescent="0.15">
      <c r="A25">
        <v>25</v>
      </c>
      <c r="C25">
        <f t="shared" si="0"/>
        <v>9.4056801452039149</v>
      </c>
      <c r="D25">
        <f t="shared" si="1"/>
        <v>8.8112352491774573</v>
      </c>
      <c r="E25">
        <v>25</v>
      </c>
      <c r="G25">
        <f t="shared" si="2"/>
        <v>8.4582149232815134</v>
      </c>
      <c r="H25">
        <f t="shared" si="3"/>
        <v>9.0486846571295931</v>
      </c>
    </row>
    <row r="26" spans="1:8" x14ac:dyDescent="0.15">
      <c r="A26">
        <v>26</v>
      </c>
      <c r="C26">
        <f t="shared" si="0"/>
        <v>9.4768947846317779</v>
      </c>
      <c r="D26">
        <f t="shared" si="1"/>
        <v>8.8815979264607687</v>
      </c>
      <c r="E26">
        <v>26</v>
      </c>
      <c r="G26">
        <f t="shared" si="2"/>
        <v>8.5504843454187629</v>
      </c>
      <c r="H26">
        <f t="shared" si="3"/>
        <v>9.1407349525338013</v>
      </c>
    </row>
    <row r="27" spans="1:8" x14ac:dyDescent="0.15">
      <c r="A27">
        <v>27</v>
      </c>
      <c r="C27">
        <f t="shared" si="0"/>
        <v>9.5481094240596391</v>
      </c>
      <c r="D27">
        <f t="shared" si="1"/>
        <v>8.9518844791676457</v>
      </c>
      <c r="E27">
        <v>27</v>
      </c>
      <c r="G27">
        <f t="shared" si="2"/>
        <v>8.6427537675560107</v>
      </c>
      <c r="H27">
        <f t="shared" si="3"/>
        <v>9.2329163417536364</v>
      </c>
    </row>
    <row r="28" spans="1:8" x14ac:dyDescent="0.15">
      <c r="A28">
        <v>28</v>
      </c>
      <c r="C28">
        <f t="shared" si="0"/>
        <v>9.6193240634875004</v>
      </c>
      <c r="D28">
        <f t="shared" si="1"/>
        <v>9.0220952621881452</v>
      </c>
      <c r="E28">
        <v>28</v>
      </c>
      <c r="G28">
        <f t="shared" si="2"/>
        <v>8.7350231896932602</v>
      </c>
      <c r="H28">
        <f t="shared" si="3"/>
        <v>9.3252288834495243</v>
      </c>
    </row>
    <row r="29" spans="1:8" x14ac:dyDescent="0.15">
      <c r="A29">
        <v>29</v>
      </c>
      <c r="C29">
        <f t="shared" si="0"/>
        <v>9.6905387029153633</v>
      </c>
      <c r="D29">
        <f t="shared" si="1"/>
        <v>9.0922306569070503</v>
      </c>
      <c r="E29">
        <v>29</v>
      </c>
      <c r="G29">
        <f t="shared" si="2"/>
        <v>8.827292611830508</v>
      </c>
      <c r="H29">
        <f t="shared" si="3"/>
        <v>9.4176725488845285</v>
      </c>
    </row>
    <row r="30" spans="1:8" x14ac:dyDescent="0.15">
      <c r="A30">
        <v>30</v>
      </c>
      <c r="C30">
        <f t="shared" si="0"/>
        <v>9.7617533423432246</v>
      </c>
      <c r="D30">
        <f t="shared" si="1"/>
        <v>9.1622910705012632</v>
      </c>
      <c r="E30">
        <v>30</v>
      </c>
      <c r="G30">
        <f t="shared" si="2"/>
        <v>8.9195620339677575</v>
      </c>
      <c r="H30">
        <f t="shared" si="3"/>
        <v>9.510247222020034</v>
      </c>
    </row>
    <row r="31" spans="1:8" x14ac:dyDescent="0.15">
      <c r="A31">
        <v>31</v>
      </c>
      <c r="C31">
        <f t="shared" si="0"/>
        <v>9.8329679817710876</v>
      </c>
      <c r="D31">
        <f t="shared" si="1"/>
        <v>9.2322769351985734</v>
      </c>
      <c r="E31">
        <v>31</v>
      </c>
      <c r="G31">
        <f t="shared" si="2"/>
        <v>9.0118314561050052</v>
      </c>
      <c r="H31">
        <f t="shared" si="3"/>
        <v>9.6029526999016106</v>
      </c>
    </row>
    <row r="32" spans="1:8" x14ac:dyDescent="0.15">
      <c r="A32">
        <v>32</v>
      </c>
      <c r="C32">
        <f t="shared" si="0"/>
        <v>9.9041826211989488</v>
      </c>
      <c r="D32">
        <f t="shared" si="1"/>
        <v>9.302188707500763</v>
      </c>
      <c r="E32">
        <v>32</v>
      </c>
      <c r="G32">
        <f t="shared" si="2"/>
        <v>9.104100878242253</v>
      </c>
      <c r="H32">
        <f t="shared" si="3"/>
        <v>9.6957886933320907</v>
      </c>
    </row>
    <row r="33" spans="1:8" x14ac:dyDescent="0.15">
      <c r="A33">
        <v>33</v>
      </c>
      <c r="C33">
        <f t="shared" ref="C33:C64" si="4">7.69652879893523+(A33-1)*0.0712146394278619</f>
        <v>9.97539726062681</v>
      </c>
      <c r="D33">
        <f t="shared" ref="D33:D64" si="5">0+1*C33-0.588278156393869*(1.00641025641026+(C33-8.65855344214185)^2/38.063255552123)^0.5</f>
        <v>9.3720268673742471</v>
      </c>
      <c r="E33">
        <v>33</v>
      </c>
      <c r="G33">
        <f t="shared" ref="G33:G64" si="6">6.24374879198755+(E33-1)*0.0922694221372485</f>
        <v>9.1963703003795025</v>
      </c>
      <c r="H33">
        <f t="shared" ref="H33:H64" si="7">0+1*G33+0.588278156393869*(1.00641025641026+(G33-8.65855344214185)^2/38.063255552123)^0.5</f>
        <v>9.7887548278266472</v>
      </c>
    </row>
    <row r="34" spans="1:8" x14ac:dyDescent="0.15">
      <c r="A34">
        <v>34</v>
      </c>
      <c r="C34">
        <f t="shared" si="4"/>
        <v>10.046611900054673</v>
      </c>
      <c r="D34">
        <f t="shared" si="5"/>
        <v>9.4417919174113543</v>
      </c>
      <c r="E34">
        <v>34</v>
      </c>
      <c r="G34">
        <f t="shared" si="6"/>
        <v>9.2886397225167503</v>
      </c>
      <c r="H34">
        <f t="shared" si="7"/>
        <v>9.8818506448425421</v>
      </c>
    </row>
    <row r="35" spans="1:8" x14ac:dyDescent="0.15">
      <c r="A35">
        <v>35</v>
      </c>
      <c r="C35">
        <f t="shared" si="4"/>
        <v>10.117826539482534</v>
      </c>
      <c r="D35">
        <f t="shared" si="5"/>
        <v>9.5114843819655146</v>
      </c>
      <c r="E35">
        <v>35</v>
      </c>
      <c r="G35">
        <f t="shared" si="6"/>
        <v>9.3809091446539981</v>
      </c>
      <c r="H35">
        <f t="shared" si="7"/>
        <v>9.9750756032742274</v>
      </c>
    </row>
    <row r="36" spans="1:8" x14ac:dyDescent="0.15">
      <c r="A36">
        <v>36</v>
      </c>
      <c r="C36">
        <f t="shared" si="4"/>
        <v>10.189041178910397</v>
      </c>
      <c r="D36">
        <f t="shared" si="5"/>
        <v>9.5811048062636033</v>
      </c>
      <c r="E36">
        <v>36</v>
      </c>
      <c r="G36">
        <f t="shared" si="6"/>
        <v>9.4731785667912476</v>
      </c>
      <c r="H36">
        <f t="shared" si="7"/>
        <v>10.068429081202485</v>
      </c>
    </row>
    <row r="37" spans="1:8" x14ac:dyDescent="0.15">
      <c r="A37">
        <v>37</v>
      </c>
      <c r="C37">
        <f t="shared" si="4"/>
        <v>10.260255818338258</v>
      </c>
      <c r="D37">
        <f t="shared" si="5"/>
        <v>9.6506537554986487</v>
      </c>
      <c r="E37">
        <v>37</v>
      </c>
      <c r="G37">
        <f t="shared" si="6"/>
        <v>9.5654479889284971</v>
      </c>
      <c r="H37">
        <f t="shared" si="7"/>
        <v>10.161910377884606</v>
      </c>
    </row>
    <row r="38" spans="1:8" x14ac:dyDescent="0.15">
      <c r="A38">
        <v>38</v>
      </c>
      <c r="C38">
        <f t="shared" si="4"/>
        <v>10.33147045776612</v>
      </c>
      <c r="D38">
        <f t="shared" si="5"/>
        <v>9.7201318139061961</v>
      </c>
      <c r="E38">
        <v>38</v>
      </c>
      <c r="G38">
        <f t="shared" si="6"/>
        <v>9.6577174110657449</v>
      </c>
      <c r="H38">
        <f t="shared" si="7"/>
        <v>10.255518715971032</v>
      </c>
    </row>
    <row r="39" spans="1:8" x14ac:dyDescent="0.15">
      <c r="A39">
        <v>39</v>
      </c>
      <c r="C39">
        <f t="shared" si="4"/>
        <v>10.402685097193981</v>
      </c>
      <c r="D39">
        <f t="shared" si="5"/>
        <v>9.7895395838274624</v>
      </c>
      <c r="E39">
        <v>39</v>
      </c>
      <c r="G39">
        <f t="shared" si="6"/>
        <v>9.7499868332029926</v>
      </c>
      <c r="H39">
        <f t="shared" si="7"/>
        <v>10.349253243932434</v>
      </c>
    </row>
    <row r="40" spans="1:8" x14ac:dyDescent="0.15">
      <c r="A40">
        <v>40</v>
      </c>
      <c r="C40">
        <f t="shared" si="4"/>
        <v>10.473899736621844</v>
      </c>
      <c r="D40">
        <f t="shared" si="5"/>
        <v>9.8588776847624739</v>
      </c>
      <c r="E40">
        <v>40</v>
      </c>
      <c r="G40">
        <f t="shared" si="6"/>
        <v>9.8422562553402422</v>
      </c>
      <c r="H40">
        <f t="shared" si="7"/>
        <v>10.443113038680067</v>
      </c>
    </row>
    <row r="41" spans="1:8" x14ac:dyDescent="0.15">
      <c r="A41">
        <v>41</v>
      </c>
      <c r="C41">
        <f t="shared" si="4"/>
        <v>10.545114376049705</v>
      </c>
      <c r="D41">
        <f t="shared" si="5"/>
        <v>9.9281467524162217</v>
      </c>
      <c r="E41">
        <v>41</v>
      </c>
      <c r="G41">
        <f t="shared" si="6"/>
        <v>9.9345256774774899</v>
      </c>
      <c r="H41">
        <f t="shared" si="7"/>
        <v>10.537097108361218</v>
      </c>
    </row>
    <row r="42" spans="1:8" x14ac:dyDescent="0.15">
      <c r="A42">
        <v>42</v>
      </c>
      <c r="C42">
        <f t="shared" si="4"/>
        <v>10.616329015477568</v>
      </c>
      <c r="D42">
        <f t="shared" si="5"/>
        <v>9.9973474377408778</v>
      </c>
      <c r="E42">
        <v>42</v>
      </c>
      <c r="G42">
        <f t="shared" si="6"/>
        <v>10.026795099614738</v>
      </c>
      <c r="H42">
        <f t="shared" si="7"/>
        <v>10.631204395310869</v>
      </c>
    </row>
    <row r="43" spans="1:8" x14ac:dyDescent="0.15">
      <c r="A43">
        <v>43</v>
      </c>
      <c r="C43">
        <f t="shared" si="4"/>
        <v>10.687543654905429</v>
      </c>
      <c r="D43">
        <f t="shared" si="5"/>
        <v>10.066480405976888</v>
      </c>
      <c r="E43">
        <v>43</v>
      </c>
      <c r="G43">
        <f t="shared" si="6"/>
        <v>10.119064521751987</v>
      </c>
      <c r="H43">
        <f t="shared" si="7"/>
        <v>10.725433779140069</v>
      </c>
    </row>
    <row r="44" spans="1:8" x14ac:dyDescent="0.15">
      <c r="A44">
        <v>44</v>
      </c>
      <c r="C44">
        <f t="shared" si="4"/>
        <v>10.75875829433329</v>
      </c>
      <c r="D44">
        <f t="shared" si="5"/>
        <v>10.135546335695809</v>
      </c>
      <c r="E44">
        <v>44</v>
      </c>
      <c r="G44">
        <f t="shared" si="6"/>
        <v>10.211333943889235</v>
      </c>
      <c r="H44">
        <f t="shared" si="7"/>
        <v>10.81978407994124</v>
      </c>
    </row>
    <row r="45" spans="1:8" x14ac:dyDescent="0.15">
      <c r="A45">
        <v>45</v>
      </c>
      <c r="C45">
        <f t="shared" si="4"/>
        <v>10.829972933761153</v>
      </c>
      <c r="D45">
        <f t="shared" si="5"/>
        <v>10.204545917847486</v>
      </c>
      <c r="E45">
        <v>45</v>
      </c>
      <c r="G45">
        <f t="shared" si="6"/>
        <v>10.303603366026483</v>
      </c>
      <c r="H45">
        <f t="shared" si="7"/>
        <v>10.914254061590551</v>
      </c>
    </row>
    <row r="46" spans="1:8" x14ac:dyDescent="0.15">
      <c r="A46">
        <v>46</v>
      </c>
      <c r="C46">
        <f t="shared" si="4"/>
        <v>10.901187573189015</v>
      </c>
      <c r="D46">
        <f t="shared" si="5"/>
        <v>10.273479854814131</v>
      </c>
      <c r="E46">
        <v>46</v>
      </c>
      <c r="G46">
        <f t="shared" si="6"/>
        <v>10.395872788163732</v>
      </c>
      <c r="H46">
        <f t="shared" si="7"/>
        <v>11.008842435127518</v>
      </c>
    </row>
    <row r="47" spans="1:8" x14ac:dyDescent="0.15">
      <c r="A47">
        <v>47</v>
      </c>
      <c r="C47">
        <f t="shared" si="4"/>
        <v>10.972402212616878</v>
      </c>
      <c r="D47">
        <f t="shared" si="5"/>
        <v>10.342348859473711</v>
      </c>
      <c r="E47">
        <v>47</v>
      </c>
      <c r="G47">
        <f t="shared" si="6"/>
        <v>10.488142210300982</v>
      </c>
      <c r="H47">
        <f t="shared" si="7"/>
        <v>11.103547862192304</v>
      </c>
    </row>
    <row r="48" spans="1:8" x14ac:dyDescent="0.15">
      <c r="A48">
        <v>48</v>
      </c>
      <c r="C48">
        <f t="shared" si="4"/>
        <v>11.043616852044739</v>
      </c>
      <c r="D48">
        <f t="shared" si="5"/>
        <v>10.411153654274854</v>
      </c>
      <c r="E48">
        <v>48</v>
      </c>
      <c r="G48">
        <f t="shared" si="6"/>
        <v>10.58041163243823</v>
      </c>
      <c r="H48">
        <f t="shared" si="7"/>
        <v>11.198368958501694</v>
      </c>
    </row>
    <row r="49" spans="1:8" x14ac:dyDescent="0.15">
      <c r="A49">
        <v>49</v>
      </c>
      <c r="C49">
        <f t="shared" si="4"/>
        <v>11.1148314914726</v>
      </c>
      <c r="D49">
        <f t="shared" si="5"/>
        <v>10.479894970325415</v>
      </c>
      <c r="E49">
        <v>49</v>
      </c>
      <c r="G49">
        <f t="shared" si="6"/>
        <v>10.672681054575477</v>
      </c>
      <c r="H49">
        <f t="shared" si="7"/>
        <v>11.29330429734526</v>
      </c>
    </row>
    <row r="50" spans="1:8" x14ac:dyDescent="0.15">
      <c r="A50">
        <v>50</v>
      </c>
      <c r="C50">
        <f t="shared" si="4"/>
        <v>11.186046130900463</v>
      </c>
      <c r="D50">
        <f t="shared" si="5"/>
        <v>10.548573546496641</v>
      </c>
      <c r="E50">
        <v>50</v>
      </c>
      <c r="G50">
        <f t="shared" si="6"/>
        <v>10.764950476712727</v>
      </c>
      <c r="H50">
        <f t="shared" si="7"/>
        <v>11.388352413084041</v>
      </c>
    </row>
    <row r="51" spans="1:8" x14ac:dyDescent="0.15">
      <c r="A51">
        <v>51</v>
      </c>
      <c r="C51">
        <f t="shared" si="4"/>
        <v>11.257260770328324</v>
      </c>
      <c r="D51">
        <f t="shared" si="5"/>
        <v>10.617190128544696</v>
      </c>
      <c r="E51">
        <v>51</v>
      </c>
      <c r="G51">
        <f t="shared" si="6"/>
        <v>10.857219898849975</v>
      </c>
      <c r="H51">
        <f t="shared" si="7"/>
        <v>11.483511804634949</v>
      </c>
    </row>
    <row r="52" spans="1:8" x14ac:dyDescent="0.15">
      <c r="A52">
        <v>52</v>
      </c>
      <c r="C52">
        <f t="shared" si="4"/>
        <v>11.328475409756187</v>
      </c>
      <c r="D52">
        <f t="shared" si="5"/>
        <v>10.68574546825125</v>
      </c>
      <c r="E52">
        <v>52</v>
      </c>
      <c r="G52">
        <f t="shared" si="6"/>
        <v>10.949489320987222</v>
      </c>
      <c r="H52">
        <f t="shared" si="7"/>
        <v>11.578780938925119</v>
      </c>
    </row>
    <row r="53" spans="1:8" x14ac:dyDescent="0.15">
      <c r="A53">
        <v>53</v>
      </c>
      <c r="C53">
        <f t="shared" si="4"/>
        <v>11.399690049184048</v>
      </c>
      <c r="D53">
        <f t="shared" si="5"/>
        <v>10.754240322584531</v>
      </c>
      <c r="E53">
        <v>53</v>
      </c>
      <c r="G53">
        <f t="shared" si="6"/>
        <v>11.041758743124472</v>
      </c>
      <c r="H53">
        <f t="shared" si="7"/>
        <v>11.674158254301437</v>
      </c>
    </row>
    <row r="54" spans="1:8" x14ac:dyDescent="0.15">
      <c r="A54">
        <v>54</v>
      </c>
      <c r="C54">
        <f t="shared" si="4"/>
        <v>11.47090468861191</v>
      </c>
      <c r="D54">
        <f t="shared" si="5"/>
        <v>10.822675452882248</v>
      </c>
      <c r="E54">
        <v>54</v>
      </c>
      <c r="G54">
        <f t="shared" si="6"/>
        <v>11.134028165261721</v>
      </c>
      <c r="H54">
        <f t="shared" si="7"/>
        <v>11.769642163881704</v>
      </c>
    </row>
    <row r="55" spans="1:8" x14ac:dyDescent="0.15">
      <c r="A55">
        <v>55</v>
      </c>
      <c r="C55">
        <f t="shared" si="4"/>
        <v>11.542119328039773</v>
      </c>
      <c r="D55">
        <f t="shared" si="5"/>
        <v>10.891051624057498</v>
      </c>
      <c r="E55">
        <v>55</v>
      </c>
      <c r="G55">
        <f t="shared" si="6"/>
        <v>11.226297587398969</v>
      </c>
      <c r="H55">
        <f t="shared" si="7"/>
        <v>11.865231058835041</v>
      </c>
    </row>
    <row r="56" spans="1:8" x14ac:dyDescent="0.15">
      <c r="A56">
        <v>56</v>
      </c>
      <c r="C56">
        <f t="shared" si="4"/>
        <v>11.613333967467634</v>
      </c>
      <c r="D56">
        <f t="shared" si="5"/>
        <v>10.959369603828714</v>
      </c>
      <c r="E56">
        <v>56</v>
      </c>
      <c r="G56">
        <f t="shared" si="6"/>
        <v>11.318567009536217</v>
      </c>
      <c r="H56">
        <f t="shared" si="7"/>
        <v>11.960923311580391</v>
      </c>
    </row>
    <row r="57" spans="1:8" x14ac:dyDescent="0.15">
      <c r="A57">
        <v>57</v>
      </c>
      <c r="C57">
        <f t="shared" si="4"/>
        <v>11.684548606895497</v>
      </c>
      <c r="D57">
        <f t="shared" si="5"/>
        <v>11.02763016197453</v>
      </c>
      <c r="E57">
        <v>57</v>
      </c>
      <c r="G57">
        <f t="shared" si="6"/>
        <v>11.410836431673467</v>
      </c>
      <c r="H57">
        <f t="shared" si="7"/>
        <v>12.056717278893162</v>
      </c>
    </row>
    <row r="58" spans="1:8" x14ac:dyDescent="0.15">
      <c r="A58">
        <v>58</v>
      </c>
      <c r="C58">
        <f t="shared" si="4"/>
        <v>11.755763246323358</v>
      </c>
      <c r="D58">
        <f t="shared" si="5"/>
        <v>11.095834069614277</v>
      </c>
      <c r="E58">
        <v>58</v>
      </c>
      <c r="G58">
        <f t="shared" si="6"/>
        <v>11.503105853810714</v>
      </c>
      <c r="H58">
        <f t="shared" si="7"/>
        <v>12.152611304911353</v>
      </c>
    </row>
    <row r="59" spans="1:8" x14ac:dyDescent="0.15">
      <c r="A59">
        <v>59</v>
      </c>
      <c r="C59">
        <f t="shared" si="4"/>
        <v>11.826977885751219</v>
      </c>
      <c r="D59">
        <f t="shared" si="5"/>
        <v>11.163982098514765</v>
      </c>
      <c r="E59">
        <v>59</v>
      </c>
      <c r="G59">
        <f t="shared" si="6"/>
        <v>11.595375275947962</v>
      </c>
      <c r="H59">
        <f t="shared" si="7"/>
        <v>12.248603724033705</v>
      </c>
    </row>
    <row r="60" spans="1:8" x14ac:dyDescent="0.15">
      <c r="A60">
        <v>60</v>
      </c>
      <c r="C60">
        <f t="shared" si="4"/>
        <v>11.898192525179081</v>
      </c>
      <c r="D60">
        <f t="shared" si="5"/>
        <v>11.232075020423753</v>
      </c>
      <c r="E60">
        <v>60</v>
      </c>
      <c r="G60">
        <f t="shared" si="6"/>
        <v>11.687644698085212</v>
      </c>
      <c r="H60">
        <f t="shared" si="7"/>
        <v>12.344692863703548</v>
      </c>
    </row>
    <row r="61" spans="1:8" x14ac:dyDescent="0.15">
      <c r="A61">
        <v>61</v>
      </c>
      <c r="C61">
        <f t="shared" si="4"/>
        <v>11.969407164606944</v>
      </c>
      <c r="D61">
        <f t="shared" si="5"/>
        <v>11.30011360643052</v>
      </c>
      <c r="E61">
        <v>61</v>
      </c>
      <c r="G61">
        <f t="shared" si="6"/>
        <v>11.779914120222461</v>
      </c>
      <c r="H61">
        <f t="shared" si="7"/>
        <v>12.440877047073265</v>
      </c>
    </row>
    <row r="62" spans="1:8" x14ac:dyDescent="0.15">
      <c r="A62">
        <v>62</v>
      </c>
      <c r="C62">
        <f t="shared" si="4"/>
        <v>12.040621804034807</v>
      </c>
      <c r="D62">
        <f t="shared" si="5"/>
        <v>11.368098626353715</v>
      </c>
      <c r="E62">
        <v>62</v>
      </c>
      <c r="G62">
        <f t="shared" si="6"/>
        <v>11.872183542359709</v>
      </c>
      <c r="H62">
        <f t="shared" si="7"/>
        <v>12.537154595545328</v>
      </c>
    </row>
    <row r="63" spans="1:8" x14ac:dyDescent="0.15">
      <c r="A63">
        <v>63</v>
      </c>
      <c r="C63">
        <f t="shared" si="4"/>
        <v>12.111836443462668</v>
      </c>
      <c r="D63">
        <f t="shared" si="5"/>
        <v>11.436030848156662</v>
      </c>
      <c r="E63">
        <v>63</v>
      </c>
      <c r="G63">
        <f t="shared" si="6"/>
        <v>11.964452964496957</v>
      </c>
      <c r="H63">
        <f t="shared" si="7"/>
        <v>12.633523831186913</v>
      </c>
    </row>
    <row r="64" spans="1:8" x14ac:dyDescent="0.15">
      <c r="A64">
        <v>64</v>
      </c>
      <c r="C64">
        <f t="shared" si="4"/>
        <v>12.183051082890529</v>
      </c>
      <c r="D64">
        <f t="shared" si="5"/>
        <v>11.503911037390077</v>
      </c>
      <c r="E64">
        <v>64</v>
      </c>
      <c r="G64">
        <f t="shared" si="6"/>
        <v>12.056722386634206</v>
      </c>
      <c r="H64">
        <f t="shared" si="7"/>
        <v>12.729983079016108</v>
      </c>
    </row>
    <row r="65" spans="1:8" x14ac:dyDescent="0.15">
      <c r="A65">
        <v>65</v>
      </c>
      <c r="C65">
        <f t="shared" ref="C65:C70" si="8">7.69652879893523+(A65-1)*0.0712146394278619</f>
        <v>12.25426572231839</v>
      </c>
      <c r="D65">
        <f t="shared" ref="D65:D70" si="9">0+1*C65-0.588278156393869*(1.00641025641026+(C65-8.65855344214185)^2/38.063255552123)^0.5</f>
        <v>11.57173995666216</v>
      </c>
      <c r="E65">
        <v>65</v>
      </c>
      <c r="G65">
        <f t="shared" ref="G65:G70" si="10">6.24374879198755+(E65-1)*0.0922694221372485</f>
        <v>12.148991808771454</v>
      </c>
      <c r="H65">
        <f t="shared" ref="H65:H70" si="11">0+1*G65+0.588278156393869*(1.00641025641026+(G65-8.65855344214185)^2/38.063255552123)^0.5</f>
        <v>12.826530669158601</v>
      </c>
    </row>
    <row r="66" spans="1:8" x14ac:dyDescent="0.15">
      <c r="A66">
        <v>66</v>
      </c>
      <c r="C66">
        <f t="shared" si="8"/>
        <v>12.325480361746253</v>
      </c>
      <c r="D66">
        <f t="shared" si="9"/>
        <v>11.639518365135865</v>
      </c>
      <c r="E66">
        <v>66</v>
      </c>
      <c r="G66">
        <f t="shared" si="10"/>
        <v>12.241261230908702</v>
      </c>
      <c r="H66">
        <f t="shared" si="11"/>
        <v>12.923164938874658</v>
      </c>
    </row>
    <row r="67" spans="1:8" x14ac:dyDescent="0.15">
      <c r="A67">
        <v>67</v>
      </c>
      <c r="C67">
        <f t="shared" si="8"/>
        <v>12.396695001174116</v>
      </c>
      <c r="D67">
        <f t="shared" si="9"/>
        <v>11.707247018053117</v>
      </c>
      <c r="E67">
        <v>67</v>
      </c>
      <c r="G67">
        <f t="shared" si="10"/>
        <v>12.333530653045951</v>
      </c>
      <c r="H67">
        <f t="shared" si="11"/>
        <v>13.019884234456855</v>
      </c>
    </row>
    <row r="68" spans="1:8" x14ac:dyDescent="0.15">
      <c r="A68">
        <v>68</v>
      </c>
      <c r="C68">
        <f t="shared" si="8"/>
        <v>12.467909640601977</v>
      </c>
      <c r="D68">
        <f t="shared" si="9"/>
        <v>11.774926666285628</v>
      </c>
      <c r="E68">
        <v>68</v>
      </c>
      <c r="G68">
        <f t="shared" si="10"/>
        <v>12.425800075183199</v>
      </c>
      <c r="H68">
        <f t="shared" si="11"/>
        <v>13.116686912999841</v>
      </c>
    </row>
    <row r="69" spans="1:8" x14ac:dyDescent="0.15">
      <c r="A69">
        <v>69</v>
      </c>
      <c r="C69">
        <f t="shared" si="8"/>
        <v>12.539124280029839</v>
      </c>
      <c r="D69">
        <f t="shared" si="9"/>
        <v>11.842558055911935</v>
      </c>
      <c r="E69">
        <v>69</v>
      </c>
      <c r="G69">
        <f t="shared" si="10"/>
        <v>12.518069497320447</v>
      </c>
      <c r="H69">
        <f t="shared" si="11"/>
        <v>13.213571344043968</v>
      </c>
    </row>
    <row r="70" spans="1:8" x14ac:dyDescent="0.15">
      <c r="A70">
        <v>70</v>
      </c>
      <c r="C70">
        <f t="shared" si="8"/>
        <v>12.6103389194577</v>
      </c>
      <c r="D70">
        <f t="shared" si="9"/>
        <v>11.910141927820181</v>
      </c>
      <c r="E70">
        <v>70</v>
      </c>
      <c r="G70">
        <f t="shared" si="10"/>
        <v>12.610338919457696</v>
      </c>
      <c r="H70">
        <f t="shared" si="11"/>
        <v>13.310535911095215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J24"/>
  <sheetViews>
    <sheetView tabSelected="1" workbookViewId="0">
      <selection activeCell="Q26" sqref="Q26"/>
    </sheetView>
  </sheetViews>
  <sheetFormatPr baseColWidth="10" defaultRowHeight="13" x14ac:dyDescent="0.15"/>
  <cols>
    <col min="1" max="1" width="8.83203125" customWidth="1"/>
    <col min="2" max="2" width="14.83203125" customWidth="1"/>
    <col min="3" max="3" width="9.5" customWidth="1"/>
    <col min="4" max="8" width="8.83203125" customWidth="1"/>
    <col min="9" max="9" width="12" customWidth="1"/>
    <col min="10" max="10" width="12.33203125" customWidth="1"/>
    <col min="11" max="256" width="8.83203125" customWidth="1"/>
  </cols>
  <sheetData>
    <row r="1" spans="1:10" x14ac:dyDescent="0.15">
      <c r="A1" s="4"/>
    </row>
    <row r="2" spans="1:10" ht="14" thickBot="1" x14ac:dyDescent="0.2"/>
    <row r="3" spans="1:10" ht="14" thickBot="1" x14ac:dyDescent="0.2">
      <c r="B3" s="60" t="s">
        <v>464</v>
      </c>
      <c r="C3" s="8"/>
    </row>
    <row r="4" spans="1:10" x14ac:dyDescent="0.15">
      <c r="D4" s="4"/>
    </row>
    <row r="5" spans="1:10" x14ac:dyDescent="0.15">
      <c r="B5" s="39"/>
      <c r="C5" s="40" t="s">
        <v>455</v>
      </c>
      <c r="D5" s="40" t="s">
        <v>456</v>
      </c>
      <c r="E5" s="40" t="s">
        <v>457</v>
      </c>
      <c r="F5" s="40" t="s">
        <v>458</v>
      </c>
      <c r="G5" s="40" t="s">
        <v>459</v>
      </c>
      <c r="H5" s="40" t="s">
        <v>460</v>
      </c>
      <c r="I5" s="57" t="s">
        <v>463</v>
      </c>
      <c r="J5" s="61" t="s">
        <v>461</v>
      </c>
    </row>
    <row r="6" spans="1:10" x14ac:dyDescent="0.15">
      <c r="B6" s="40" t="s">
        <v>455</v>
      </c>
      <c r="C6" s="39">
        <v>-4.2300000000000004</v>
      </c>
      <c r="D6" s="39">
        <v>0.94099999999999995</v>
      </c>
      <c r="E6" s="39">
        <v>0</v>
      </c>
      <c r="F6" s="39">
        <v>0</v>
      </c>
      <c r="G6" s="39">
        <v>0</v>
      </c>
      <c r="H6" s="39">
        <v>0</v>
      </c>
      <c r="I6" s="56">
        <f>SUM(D6:H6)</f>
        <v>0.94099999999999995</v>
      </c>
      <c r="J6" s="72">
        <f>Sheet1!B160</f>
        <v>8.5482773600138062E-2</v>
      </c>
    </row>
    <row r="7" spans="1:10" x14ac:dyDescent="0.15">
      <c r="A7" s="4"/>
      <c r="B7" s="40" t="s">
        <v>456</v>
      </c>
      <c r="C7" s="39">
        <v>2.1520000000000001</v>
      </c>
      <c r="D7" s="39">
        <v>-3.9550000000000001</v>
      </c>
      <c r="E7" s="39">
        <v>0</v>
      </c>
      <c r="F7" s="39">
        <v>0.48499999999999999</v>
      </c>
      <c r="G7" s="39">
        <v>0</v>
      </c>
      <c r="H7" s="39">
        <v>0</v>
      </c>
      <c r="I7" s="56">
        <f>SUM(C7,E7:H7)</f>
        <v>2.637</v>
      </c>
      <c r="J7" s="72">
        <f>Sheet1!D160</f>
        <v>6.639740230372973E-2</v>
      </c>
    </row>
    <row r="8" spans="1:10" x14ac:dyDescent="0.15">
      <c r="B8" s="40" t="s">
        <v>457</v>
      </c>
      <c r="C8" s="39">
        <v>0</v>
      </c>
      <c r="D8" s="39">
        <v>0</v>
      </c>
      <c r="E8" s="39">
        <v>-4.2249999999999996</v>
      </c>
      <c r="F8" s="39">
        <v>0.27200000000000002</v>
      </c>
      <c r="G8" s="39">
        <v>0.36899999999999999</v>
      </c>
      <c r="H8" s="39">
        <v>0.59599999999999997</v>
      </c>
      <c r="I8" s="56">
        <f>SUM(C8:D8,F8:H8)</f>
        <v>1.2370000000000001</v>
      </c>
      <c r="J8" s="72">
        <f>Sheet1!F160</f>
        <v>0.4458313282646254</v>
      </c>
    </row>
    <row r="9" spans="1:10" x14ac:dyDescent="0.15">
      <c r="B9" s="40" t="s">
        <v>458</v>
      </c>
      <c r="C9" s="39">
        <v>0.63</v>
      </c>
      <c r="D9" s="39">
        <v>0.27900000000000003</v>
      </c>
      <c r="E9" s="39">
        <v>0.47199999999999998</v>
      </c>
      <c r="F9" s="39">
        <v>-3.758</v>
      </c>
      <c r="G9" s="39">
        <v>0.503</v>
      </c>
      <c r="H9" s="39">
        <v>0</v>
      </c>
      <c r="I9" s="56">
        <f>SUM(C9:E9,G9:H9)</f>
        <v>1.8839999999999999</v>
      </c>
      <c r="J9" s="72">
        <f>Sheet1!H160</f>
        <v>0.15526844778920099</v>
      </c>
    </row>
    <row r="10" spans="1:10" x14ac:dyDescent="0.15">
      <c r="B10" s="40" t="s">
        <v>459</v>
      </c>
      <c r="C10" s="39">
        <v>0</v>
      </c>
      <c r="D10" s="39">
        <v>0</v>
      </c>
      <c r="E10" s="39">
        <v>0.47</v>
      </c>
      <c r="F10" s="39">
        <v>0</v>
      </c>
      <c r="G10" s="39">
        <v>-3.6840000000000002</v>
      </c>
      <c r="H10" s="39">
        <v>0</v>
      </c>
      <c r="I10" s="56">
        <f>SUM(C10:F10,H10)</f>
        <v>0.47</v>
      </c>
      <c r="J10" s="72">
        <f>Sheet1!J160</f>
        <v>0.16072400667276288</v>
      </c>
    </row>
    <row r="11" spans="1:10" x14ac:dyDescent="0.15">
      <c r="B11" s="40" t="s">
        <v>460</v>
      </c>
      <c r="C11" s="39">
        <v>0</v>
      </c>
      <c r="D11" s="39">
        <v>0.28299999999999997</v>
      </c>
      <c r="E11" s="39">
        <v>0.51600000000000001</v>
      </c>
      <c r="F11" s="39">
        <v>0</v>
      </c>
      <c r="G11" s="39">
        <v>0.63700000000000001</v>
      </c>
      <c r="H11" s="39">
        <v>-4.6929999999999996</v>
      </c>
      <c r="I11" s="56">
        <f>SUM(C11:G11)</f>
        <v>1.4359999999999999</v>
      </c>
      <c r="J11" s="72">
        <f>Sheet1!L160</f>
        <v>8.6296041369542928E-2</v>
      </c>
    </row>
    <row r="12" spans="1:10" x14ac:dyDescent="0.15">
      <c r="B12" s="58" t="s">
        <v>462</v>
      </c>
      <c r="C12" s="54">
        <f>SUM(C7:C11)</f>
        <v>2.782</v>
      </c>
      <c r="D12" s="54">
        <f>SUM(D6,D8:D11)</f>
        <v>1.5029999999999999</v>
      </c>
      <c r="E12" s="54">
        <f>SUM(E6:E7,E9:E11)</f>
        <v>1.458</v>
      </c>
      <c r="F12" s="54">
        <f>SUM(F6:F8,F10:F11)</f>
        <v>0.75700000000000001</v>
      </c>
      <c r="G12" s="54">
        <f>SUM(G6:G9,G11)</f>
        <v>1.5089999999999999</v>
      </c>
      <c r="H12" s="54">
        <f>SUM(H6:H10)</f>
        <v>0.59599999999999997</v>
      </c>
      <c r="I12" s="55"/>
    </row>
    <row r="16" spans="1:10" ht="14" thickBot="1" x14ac:dyDescent="0.2"/>
    <row r="17" spans="2:4" ht="14" thickBot="1" x14ac:dyDescent="0.2">
      <c r="B17" s="60" t="s">
        <v>465</v>
      </c>
    </row>
    <row r="18" spans="2:4" x14ac:dyDescent="0.15">
      <c r="B18" s="59"/>
    </row>
    <row r="19" spans="2:4" x14ac:dyDescent="0.15">
      <c r="B19" s="40" t="s">
        <v>455</v>
      </c>
      <c r="C19" s="39">
        <f>C12/I6</f>
        <v>2.9564293304994687</v>
      </c>
      <c r="D19" t="str">
        <f ca="1">_xlfn.FORMULATEXT(C19)</f>
        <v>=C12/I6</v>
      </c>
    </row>
    <row r="20" spans="2:4" x14ac:dyDescent="0.15">
      <c r="B20" s="40" t="s">
        <v>456</v>
      </c>
      <c r="C20" s="39">
        <f>D12/I7</f>
        <v>0.56996587030716717</v>
      </c>
      <c r="D20" t="str">
        <f t="shared" ref="D20:D24" ca="1" si="0">_xlfn.FORMULATEXT(C20)</f>
        <v>=D12/I7</v>
      </c>
    </row>
    <row r="21" spans="2:4" x14ac:dyDescent="0.15">
      <c r="B21" s="40" t="s">
        <v>457</v>
      </c>
      <c r="C21" s="39">
        <f>E12/I8</f>
        <v>1.1786580436540015</v>
      </c>
      <c r="D21" t="str">
        <f t="shared" ca="1" si="0"/>
        <v>=E12/I8</v>
      </c>
    </row>
    <row r="22" spans="2:4" x14ac:dyDescent="0.15">
      <c r="B22" s="40" t="s">
        <v>458</v>
      </c>
      <c r="C22" s="39">
        <f>F12/I9</f>
        <v>0.40180467091295119</v>
      </c>
      <c r="D22" t="str">
        <f t="shared" ca="1" si="0"/>
        <v>=F12/I9</v>
      </c>
    </row>
    <row r="23" spans="2:4" x14ac:dyDescent="0.15">
      <c r="B23" s="40" t="s">
        <v>459</v>
      </c>
      <c r="C23" s="39">
        <f>G12/I10</f>
        <v>3.2106382978723405</v>
      </c>
      <c r="D23" t="str">
        <f t="shared" ca="1" si="0"/>
        <v>=G12/I10</v>
      </c>
    </row>
    <row r="24" spans="2:4" x14ac:dyDescent="0.15">
      <c r="B24" s="40" t="s">
        <v>460</v>
      </c>
      <c r="C24" s="39">
        <f>H12/I11</f>
        <v>0.41504178272980502</v>
      </c>
      <c r="D24" t="str">
        <f t="shared" ca="1" si="0"/>
        <v>=H12/I11</v>
      </c>
    </row>
  </sheetData>
  <phoneticPr fontId="4" type="noConversion"/>
  <pageMargins left="0.75" right="0.75" top="1" bottom="1" header="0.5" footer="0.5"/>
  <headerFooter alignWithMargins="0"/>
  <ignoredErrors>
    <ignoredError sqref="I6 I11 C12 H12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Regr-SalesTO</vt:lpstr>
      <vt:lpstr>XLSTAT_20211101_192941_1_HID</vt:lpstr>
      <vt:lpstr>Regr-SalesTomb</vt:lpstr>
      <vt:lpstr>XLSTAT_20211101_192432_1_HID</vt:lpstr>
      <vt:lpstr>Regr-SalesRB</vt:lpstr>
      <vt:lpstr>XLSTAT_20211101_192320_1_HID</vt:lpstr>
      <vt:lpstr>Regr-SalesJO</vt:lpstr>
      <vt:lpstr>XLSTAT_20211101_192102_1_HID</vt:lpstr>
      <vt:lpstr>Regr-SalesFre</vt:lpstr>
      <vt:lpstr>XLSTAT_20211101_191759_1_HID</vt:lpstr>
      <vt:lpstr>Regr-SalesDiG</vt:lpstr>
      <vt:lpstr>XLSTAT_20211101_191526_1_HID</vt:lpstr>
      <vt:lpstr>Part 2 - Q1+Q2</vt:lpstr>
    </vt:vector>
  </TitlesOfParts>
  <Company>The University of Texas at Austin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raora</dc:creator>
  <cp:lastModifiedBy>Microsoft Office User</cp:lastModifiedBy>
  <dcterms:created xsi:type="dcterms:W3CDTF">2009-03-29T21:08:13Z</dcterms:created>
  <dcterms:modified xsi:type="dcterms:W3CDTF">2021-11-04T03:51:56Z</dcterms:modified>
</cp:coreProperties>
</file>